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sito\Desktop\"/>
    </mc:Choice>
  </mc:AlternateContent>
  <xr:revisionPtr revIDLastSave="0" documentId="13_ncr:1_{FCAD57A4-F14D-49A9-ACAF-FECEF1A1AFD6}" xr6:coauthVersionLast="47" xr6:coauthVersionMax="47" xr10:uidLastSave="{00000000-0000-0000-0000-000000000000}"/>
  <bookViews>
    <workbookView xWindow="-120" yWindow="-120" windowWidth="29040" windowHeight="15840" xr2:uid="{7EBBEA02-97EB-4EFA-8321-D6EB29118322}"/>
  </bookViews>
  <sheets>
    <sheet name="Fertilisa" sheetId="1" r:id="rId1"/>
    <sheet name="Manvert, Jiffy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2" l="1"/>
  <c r="F30" i="2"/>
  <c r="E30" i="2"/>
  <c r="G30" i="2" s="1"/>
  <c r="J29" i="2"/>
  <c r="F29" i="2"/>
  <c r="E29" i="2"/>
  <c r="J28" i="2"/>
  <c r="F28" i="2"/>
  <c r="E28" i="2"/>
  <c r="G28" i="2" s="1"/>
  <c r="J27" i="2"/>
  <c r="F27" i="2"/>
  <c r="E27" i="2"/>
  <c r="J26" i="2"/>
  <c r="F26" i="2"/>
  <c r="E26" i="2"/>
  <c r="G26" i="2" s="1"/>
  <c r="D26" i="2"/>
  <c r="J25" i="2"/>
  <c r="F25" i="2"/>
  <c r="E25" i="2"/>
  <c r="D25" i="2"/>
  <c r="F24" i="2"/>
  <c r="E24" i="2"/>
  <c r="F23" i="2"/>
  <c r="E23" i="2"/>
  <c r="G23" i="2" s="1"/>
  <c r="D23" i="2"/>
  <c r="J22" i="2"/>
  <c r="F22" i="2"/>
  <c r="E22" i="2"/>
  <c r="G22" i="2" s="1"/>
  <c r="D22" i="2"/>
  <c r="J21" i="2"/>
  <c r="F21" i="2"/>
  <c r="E21" i="2"/>
  <c r="G21" i="2" s="1"/>
  <c r="D21" i="2"/>
  <c r="J20" i="2"/>
  <c r="F20" i="2"/>
  <c r="E20" i="2"/>
  <c r="D20" i="2"/>
  <c r="F19" i="2"/>
  <c r="E19" i="2"/>
  <c r="G19" i="2" s="1"/>
  <c r="D19" i="2"/>
  <c r="J18" i="2"/>
  <c r="F18" i="2"/>
  <c r="E18" i="2"/>
  <c r="G18" i="2" s="1"/>
  <c r="D18" i="2"/>
  <c r="J17" i="2"/>
  <c r="F17" i="2"/>
  <c r="E17" i="2"/>
  <c r="G17" i="2" s="1"/>
  <c r="D17" i="2"/>
  <c r="J16" i="2"/>
  <c r="F16" i="2"/>
  <c r="E16" i="2"/>
  <c r="D16" i="2"/>
  <c r="F15" i="2"/>
  <c r="E15" i="2"/>
  <c r="D15" i="2"/>
  <c r="J14" i="2"/>
  <c r="F14" i="2"/>
  <c r="E14" i="2"/>
  <c r="D14" i="2"/>
  <c r="J13" i="2"/>
  <c r="F13" i="2"/>
  <c r="E13" i="2"/>
  <c r="D13" i="2"/>
  <c r="J12" i="2"/>
  <c r="F12" i="2"/>
  <c r="E12" i="2"/>
  <c r="D12" i="2"/>
  <c r="F11" i="2"/>
  <c r="E11" i="2"/>
  <c r="G11" i="2" s="1"/>
  <c r="D11" i="2"/>
  <c r="J10" i="2"/>
  <c r="F10" i="2"/>
  <c r="E10" i="2"/>
  <c r="G10" i="2" s="1"/>
  <c r="D10" i="2"/>
  <c r="J9" i="2"/>
  <c r="F9" i="2"/>
  <c r="E9" i="2"/>
  <c r="G9" i="2" s="1"/>
  <c r="J8" i="2"/>
  <c r="F8" i="2"/>
  <c r="E8" i="2"/>
  <c r="G8" i="2" s="1"/>
  <c r="J7" i="2"/>
  <c r="F7" i="2"/>
  <c r="E7" i="2"/>
  <c r="J6" i="2"/>
  <c r="F6" i="2"/>
  <c r="E6" i="2"/>
  <c r="J5" i="2"/>
  <c r="F5" i="2"/>
  <c r="E5" i="2"/>
  <c r="G5" i="2" s="1"/>
  <c r="E224" i="1"/>
  <c r="D224" i="1"/>
  <c r="F224" i="1" s="1"/>
  <c r="E223" i="1"/>
  <c r="D223" i="1"/>
  <c r="F223" i="1" s="1"/>
  <c r="E222" i="1"/>
  <c r="D222" i="1"/>
  <c r="E221" i="1"/>
  <c r="D221" i="1"/>
  <c r="F221" i="1" s="1"/>
  <c r="E220" i="1"/>
  <c r="D220" i="1"/>
  <c r="E219" i="1"/>
  <c r="D219" i="1"/>
  <c r="F219" i="1" s="1"/>
  <c r="E218" i="1"/>
  <c r="D218" i="1"/>
  <c r="F218" i="1" s="1"/>
  <c r="E217" i="1"/>
  <c r="D217" i="1"/>
  <c r="E216" i="1"/>
  <c r="D216" i="1"/>
  <c r="F216" i="1" s="1"/>
  <c r="E215" i="1"/>
  <c r="D215" i="1"/>
  <c r="E214" i="1"/>
  <c r="D214" i="1"/>
  <c r="F214" i="1" s="1"/>
  <c r="E213" i="1"/>
  <c r="D213" i="1"/>
  <c r="F213" i="1" s="1"/>
  <c r="E212" i="1"/>
  <c r="D212" i="1"/>
  <c r="F212" i="1" s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F205" i="1" s="1"/>
  <c r="E204" i="1"/>
  <c r="D204" i="1"/>
  <c r="E203" i="1"/>
  <c r="D203" i="1"/>
  <c r="F203" i="1" s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3" i="1"/>
  <c r="D193" i="1"/>
  <c r="E192" i="1"/>
  <c r="D192" i="1"/>
  <c r="F192" i="1" s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F184" i="1" s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F156" i="1" s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F148" i="1" s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F138" i="1" s="1"/>
  <c r="D138" i="1"/>
  <c r="E137" i="1"/>
  <c r="D137" i="1"/>
  <c r="E136" i="1"/>
  <c r="D136" i="1"/>
  <c r="E135" i="1"/>
  <c r="D135" i="1"/>
  <c r="F134" i="1"/>
  <c r="E134" i="1"/>
  <c r="D134" i="1"/>
  <c r="E133" i="1"/>
  <c r="D133" i="1"/>
  <c r="E132" i="1"/>
  <c r="D132" i="1"/>
  <c r="E131" i="1"/>
  <c r="D131" i="1"/>
  <c r="F131" i="1" s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F120" i="1" s="1"/>
  <c r="D120" i="1"/>
  <c r="E119" i="1"/>
  <c r="D119" i="1"/>
  <c r="E118" i="1"/>
  <c r="D118" i="1"/>
  <c r="E117" i="1"/>
  <c r="D117" i="1"/>
  <c r="F116" i="1"/>
  <c r="E116" i="1"/>
  <c r="D116" i="1"/>
  <c r="E115" i="1"/>
  <c r="D115" i="1"/>
  <c r="E109" i="1"/>
  <c r="D109" i="1"/>
  <c r="E108" i="1"/>
  <c r="D108" i="1"/>
  <c r="E107" i="1"/>
  <c r="D107" i="1"/>
  <c r="E106" i="1"/>
  <c r="F106" i="1" s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D92" i="1"/>
  <c r="F92" i="1" s="1"/>
  <c r="E91" i="1"/>
  <c r="F91" i="1" s="1"/>
  <c r="D91" i="1"/>
  <c r="D90" i="1"/>
  <c r="F90" i="1" s="1"/>
  <c r="E89" i="1"/>
  <c r="D89" i="1"/>
  <c r="E88" i="1"/>
  <c r="D88" i="1"/>
  <c r="F88" i="1" s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E73" i="1"/>
  <c r="D73" i="1"/>
  <c r="E72" i="1"/>
  <c r="D72" i="1"/>
  <c r="E71" i="1"/>
  <c r="D71" i="1"/>
  <c r="E70" i="1"/>
  <c r="D70" i="1"/>
  <c r="E69" i="1"/>
  <c r="D69" i="1"/>
  <c r="F69" i="1" s="1"/>
  <c r="E68" i="1"/>
  <c r="D68" i="1"/>
  <c r="E67" i="1"/>
  <c r="D67" i="1"/>
  <c r="F67" i="1" s="1"/>
  <c r="E66" i="1"/>
  <c r="D66" i="1"/>
  <c r="F66" i="1" s="1"/>
  <c r="E65" i="1"/>
  <c r="D65" i="1"/>
  <c r="E64" i="1"/>
  <c r="D64" i="1"/>
  <c r="F64" i="1" s="1"/>
  <c r="E63" i="1"/>
  <c r="D63" i="1"/>
  <c r="E62" i="1"/>
  <c r="D62" i="1"/>
  <c r="F62" i="1" s="1"/>
  <c r="E61" i="1"/>
  <c r="D61" i="1"/>
  <c r="E60" i="1"/>
  <c r="D60" i="1"/>
  <c r="F60" i="1" s="1"/>
  <c r="E59" i="1"/>
  <c r="D59" i="1"/>
  <c r="E58" i="1"/>
  <c r="D58" i="1"/>
  <c r="E57" i="1"/>
  <c r="D57" i="1"/>
  <c r="E56" i="1"/>
  <c r="D56" i="1"/>
  <c r="E55" i="1"/>
  <c r="D55" i="1"/>
  <c r="E54" i="1"/>
  <c r="D54" i="1"/>
  <c r="F54" i="1" s="1"/>
  <c r="E53" i="1"/>
  <c r="D53" i="1"/>
  <c r="E52" i="1"/>
  <c r="D52" i="1"/>
  <c r="E51" i="1"/>
  <c r="D51" i="1"/>
  <c r="E50" i="1"/>
  <c r="D50" i="1"/>
  <c r="F50" i="1" s="1"/>
  <c r="E49" i="1"/>
  <c r="D49" i="1"/>
  <c r="E48" i="1"/>
  <c r="D48" i="1"/>
  <c r="E47" i="1"/>
  <c r="D47" i="1"/>
  <c r="E46" i="1"/>
  <c r="F46" i="1" s="1"/>
  <c r="D46" i="1"/>
  <c r="E45" i="1"/>
  <c r="D45" i="1"/>
  <c r="E44" i="1"/>
  <c r="D44" i="1"/>
  <c r="E43" i="1"/>
  <c r="D43" i="1"/>
  <c r="E42" i="1"/>
  <c r="D42" i="1"/>
  <c r="E41" i="1"/>
  <c r="D41" i="1"/>
  <c r="F41" i="1" s="1"/>
  <c r="E40" i="1"/>
  <c r="D40" i="1"/>
  <c r="E39" i="1"/>
  <c r="D39" i="1"/>
  <c r="F39" i="1" s="1"/>
  <c r="E38" i="1"/>
  <c r="F38" i="1" s="1"/>
  <c r="D38" i="1"/>
  <c r="E37" i="1"/>
  <c r="D37" i="1"/>
  <c r="F37" i="1" s="1"/>
  <c r="E36" i="1"/>
  <c r="D36" i="1"/>
  <c r="E35" i="1"/>
  <c r="D35" i="1"/>
  <c r="F35" i="1" s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F27" i="1" s="1"/>
  <c r="E26" i="1"/>
  <c r="D26" i="1"/>
  <c r="E25" i="1"/>
  <c r="D25" i="1"/>
  <c r="F25" i="1" s="1"/>
  <c r="E24" i="1"/>
  <c r="D24" i="1"/>
  <c r="E23" i="1"/>
  <c r="D23" i="1"/>
  <c r="E22" i="1"/>
  <c r="D22" i="1"/>
  <c r="E21" i="1"/>
  <c r="D21" i="1"/>
  <c r="F21" i="1" s="1"/>
  <c r="E20" i="1"/>
  <c r="D20" i="1"/>
  <c r="E19" i="1"/>
  <c r="D19" i="1"/>
  <c r="E18" i="1"/>
  <c r="D18" i="1"/>
  <c r="E17" i="1"/>
  <c r="D17" i="1"/>
  <c r="F17" i="1" s="1"/>
  <c r="E16" i="1"/>
  <c r="D16" i="1"/>
  <c r="E15" i="1"/>
  <c r="D15" i="1"/>
  <c r="F15" i="1" s="1"/>
  <c r="E14" i="1"/>
  <c r="D14" i="1"/>
  <c r="E13" i="1"/>
  <c r="D13" i="1"/>
  <c r="F13" i="1" s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F83" i="1" l="1"/>
  <c r="F141" i="1"/>
  <c r="F145" i="1"/>
  <c r="F149" i="1"/>
  <c r="F177" i="1"/>
  <c r="F183" i="1"/>
  <c r="F163" i="1"/>
  <c r="F185" i="1"/>
  <c r="F187" i="1"/>
  <c r="F197" i="1"/>
  <c r="F9" i="1"/>
  <c r="F31" i="1"/>
  <c r="F78" i="1"/>
  <c r="F12" i="1"/>
  <c r="F16" i="1"/>
  <c r="F20" i="1"/>
  <c r="F24" i="1"/>
  <c r="F26" i="1"/>
  <c r="F28" i="1"/>
  <c r="F61" i="1"/>
  <c r="F65" i="1"/>
  <c r="F97" i="1"/>
  <c r="F109" i="1"/>
  <c r="F168" i="1"/>
  <c r="F170" i="1"/>
  <c r="F188" i="1"/>
  <c r="F200" i="1"/>
  <c r="G6" i="2"/>
  <c r="G13" i="2"/>
  <c r="G14" i="2"/>
  <c r="G15" i="2"/>
  <c r="G24" i="2"/>
  <c r="G29" i="2"/>
  <c r="F68" i="1"/>
  <c r="F8" i="1"/>
  <c r="F10" i="1"/>
  <c r="F32" i="1"/>
  <c r="F40" i="1"/>
  <c r="F45" i="1"/>
  <c r="F47" i="1"/>
  <c r="F75" i="1"/>
  <c r="F79" i="1"/>
  <c r="F81" i="1"/>
  <c r="F93" i="1"/>
  <c r="F101" i="1"/>
  <c r="F103" i="1"/>
  <c r="F121" i="1"/>
  <c r="F125" i="1"/>
  <c r="F129" i="1"/>
  <c r="F135" i="1"/>
  <c r="F151" i="1"/>
  <c r="F153" i="1"/>
  <c r="F159" i="1"/>
  <c r="F161" i="1"/>
  <c r="F174" i="1"/>
  <c r="F176" i="1"/>
  <c r="F180" i="1"/>
  <c r="F191" i="1"/>
  <c r="F193" i="1"/>
  <c r="F211" i="1"/>
  <c r="F222" i="1"/>
  <c r="F44" i="1"/>
  <c r="F51" i="1"/>
  <c r="F70" i="1"/>
  <c r="F72" i="1"/>
  <c r="F85" i="1"/>
  <c r="F87" i="1"/>
  <c r="F122" i="1"/>
  <c r="F124" i="1"/>
  <c r="F126" i="1"/>
  <c r="F128" i="1"/>
  <c r="F130" i="1"/>
  <c r="F80" i="1"/>
  <c r="F82" i="1"/>
  <c r="F89" i="1"/>
  <c r="F96" i="1"/>
  <c r="F98" i="1"/>
  <c r="F108" i="1"/>
  <c r="F115" i="1"/>
  <c r="F140" i="1"/>
  <c r="F142" i="1"/>
  <c r="F162" i="1"/>
  <c r="F167" i="1"/>
  <c r="F173" i="1"/>
  <c r="F199" i="1"/>
  <c r="F204" i="1"/>
  <c r="F208" i="1"/>
  <c r="F210" i="1"/>
  <c r="F7" i="1"/>
  <c r="F19" i="1"/>
  <c r="F22" i="1"/>
  <c r="F30" i="1"/>
  <c r="F49" i="1"/>
  <c r="F56" i="1"/>
  <c r="F58" i="1"/>
  <c r="F94" i="1"/>
  <c r="F133" i="1"/>
  <c r="F144" i="1"/>
  <c r="F146" i="1"/>
  <c r="F155" i="1"/>
  <c r="F157" i="1"/>
  <c r="F160" i="1"/>
  <c r="F166" i="1"/>
  <c r="F169" i="1"/>
  <c r="F209" i="1"/>
  <c r="F11" i="1"/>
  <c r="F14" i="1"/>
  <c r="F29" i="1"/>
  <c r="F34" i="1"/>
  <c r="F36" i="1"/>
  <c r="F48" i="1"/>
  <c r="F53" i="1"/>
  <c r="F55" i="1"/>
  <c r="F57" i="1"/>
  <c r="F59" i="1"/>
  <c r="F71" i="1"/>
  <c r="F84" i="1"/>
  <c r="F95" i="1"/>
  <c r="F100" i="1"/>
  <c r="F105" i="1"/>
  <c r="F117" i="1"/>
  <c r="F123" i="1"/>
  <c r="F132" i="1"/>
  <c r="F137" i="1"/>
  <c r="F139" i="1"/>
  <c r="F178" i="1"/>
  <c r="F182" i="1"/>
  <c r="F201" i="1"/>
  <c r="F215" i="1"/>
  <c r="F220" i="1"/>
  <c r="F6" i="1"/>
  <c r="F18" i="1"/>
  <c r="F23" i="1"/>
  <c r="F33" i="1"/>
  <c r="F43" i="1"/>
  <c r="F52" i="1"/>
  <c r="F63" i="1"/>
  <c r="F73" i="1"/>
  <c r="F76" i="1"/>
  <c r="F102" i="1"/>
  <c r="F104" i="1"/>
  <c r="F118" i="1"/>
  <c r="F136" i="1"/>
  <c r="F143" i="1"/>
  <c r="F147" i="1"/>
  <c r="F152" i="1"/>
  <c r="F154" i="1"/>
  <c r="F158" i="1"/>
  <c r="F165" i="1"/>
  <c r="F172" i="1"/>
  <c r="F175" i="1"/>
  <c r="F179" i="1"/>
  <c r="F189" i="1"/>
  <c r="F202" i="1"/>
  <c r="F207" i="1"/>
  <c r="F217" i="1"/>
  <c r="G25" i="2"/>
  <c r="G12" i="2"/>
  <c r="G16" i="2"/>
  <c r="G20" i="2"/>
  <c r="G7" i="2"/>
  <c r="G27" i="2"/>
  <c r="J11" i="2"/>
  <c r="J15" i="2"/>
  <c r="J19" i="2"/>
  <c r="J23" i="2"/>
  <c r="J24" i="2"/>
  <c r="F86" i="1"/>
  <c r="F99" i="1"/>
  <c r="F107" i="1"/>
  <c r="F127" i="1"/>
  <c r="F150" i="1"/>
  <c r="F42" i="1"/>
  <c r="F77" i="1"/>
  <c r="F119" i="1"/>
  <c r="F164" i="1"/>
  <c r="F171" i="1"/>
  <c r="F186" i="1"/>
  <c r="F190" i="1"/>
  <c r="F198" i="1"/>
  <c r="F181" i="1"/>
  <c r="F206" i="1"/>
  <c r="D74" i="1" l="1"/>
  <c r="F74" i="1" s="1"/>
</calcChain>
</file>

<file path=xl/sharedStrings.xml><?xml version="1.0" encoding="utf-8"?>
<sst xmlns="http://schemas.openxmlformats.org/spreadsheetml/2006/main" count="548" uniqueCount="488">
  <si>
    <t>Granular - Solubles</t>
  </si>
  <si>
    <t>********  Comparativo Físico - Sistema</t>
  </si>
  <si>
    <t>Codigo</t>
  </si>
  <si>
    <t>Producto</t>
  </si>
  <si>
    <t>Fisico</t>
  </si>
  <si>
    <t>Sist. David</t>
  </si>
  <si>
    <t>Dif.</t>
  </si>
  <si>
    <t>Observaciones</t>
  </si>
  <si>
    <t>F. Vencimiento</t>
  </si>
  <si>
    <t>Almacenaje</t>
  </si>
  <si>
    <t>'ABP-55</t>
  </si>
  <si>
    <t>ABP - Insecbiol Drone 10 Wp x 1 Kg</t>
  </si>
  <si>
    <t>'ABP-47</t>
  </si>
  <si>
    <t>ABP - Lilacil 10 WP x 1Kg</t>
  </si>
  <si>
    <t>'ABP-63</t>
  </si>
  <si>
    <t>ABP - Lilacil Drone 10 WP x 1 Kg</t>
  </si>
  <si>
    <t>'ABP-44</t>
  </si>
  <si>
    <t>ABP - Metaril x 1 Kg</t>
  </si>
  <si>
    <t>'4000100595</t>
  </si>
  <si>
    <t>Bio - Pacel 10WP x 1 Kg</t>
  </si>
  <si>
    <t>'4000100605</t>
  </si>
  <si>
    <t>Bio - Pacel 10WP x 250 G</t>
  </si>
  <si>
    <t>'4000100593</t>
  </si>
  <si>
    <t>Bio - Strepto 2 WP x 1 Kg</t>
  </si>
  <si>
    <t>'4000100617</t>
  </si>
  <si>
    <t>Bio - Strepto 2 WP x 500 g</t>
  </si>
  <si>
    <t>'4000100602</t>
  </si>
  <si>
    <t>Bio - Tri Max 3 WP x 250 G</t>
  </si>
  <si>
    <t>'4000100480</t>
  </si>
  <si>
    <t>Brandt Enzup Pds X 10 Kg</t>
  </si>
  <si>
    <t>'4000100564</t>
  </si>
  <si>
    <t>Dap 18-46-0 x 45 Kg</t>
  </si>
  <si>
    <t>'4000100398</t>
  </si>
  <si>
    <t>Fertilisa - NPK High Plex  12-12-17 + EM X 50 Kg</t>
  </si>
  <si>
    <t>'4000100372</t>
  </si>
  <si>
    <t>Fertilisa - NPK High Plex X 1 Kg</t>
  </si>
  <si>
    <t>Pendiente por rebajar</t>
  </si>
  <si>
    <t>'4000100425</t>
  </si>
  <si>
    <t>Fertilisa - NPK High Plex X 1.5 Kg</t>
  </si>
  <si>
    <t>'4000100374</t>
  </si>
  <si>
    <t>Fertilisa - NPK High Plex X 2 Kg</t>
  </si>
  <si>
    <t xml:space="preserve"> </t>
  </si>
  <si>
    <t>'4000100371</t>
  </si>
  <si>
    <t>Fertilisa - NPK High Plex X 3 Kg</t>
  </si>
  <si>
    <t>'4000100424</t>
  </si>
  <si>
    <t>Fertilisa - NPK High Plex X 3.50 Kg</t>
  </si>
  <si>
    <t>'4000100426</t>
  </si>
  <si>
    <t>Fertilisa - NPK High Plex X 800 Gramos</t>
  </si>
  <si>
    <t>'4000100681</t>
  </si>
  <si>
    <t>Fertilisa NPK 15-15-15+S x 50 Kg</t>
  </si>
  <si>
    <t>100 Productos Alimenticios Pascual</t>
  </si>
  <si>
    <t>'4000100707</t>
  </si>
  <si>
    <t xml:space="preserve">FERTILISA W NPK 19-9-19  1KG </t>
  </si>
  <si>
    <t>'4000100708</t>
  </si>
  <si>
    <t xml:space="preserve">FERTILISA W NPK 19-9-19  3KG </t>
  </si>
  <si>
    <t>'4000100609</t>
  </si>
  <si>
    <t>Fertilisa W NPK 19-9-19 x 50 Kg</t>
  </si>
  <si>
    <t>200 Productos Alimenticios Pascual, 15 Rancho Gatun</t>
  </si>
  <si>
    <t>'4000100589</t>
  </si>
  <si>
    <t>Granupotase 0-0-50-18 (S) x 25 Kg</t>
  </si>
  <si>
    <t>'4000100532</t>
  </si>
  <si>
    <t>Manttra - Azufertil AH 10 x 50 Kg</t>
  </si>
  <si>
    <t>Faltante en la descarga</t>
  </si>
  <si>
    <t>'4000100567</t>
  </si>
  <si>
    <t>Manttra - Mikrothor L x 25 Kg</t>
  </si>
  <si>
    <t>'12787</t>
  </si>
  <si>
    <t>Manvert H2O Plus - GR5 (5Kg-20x250G)</t>
  </si>
  <si>
    <t>'4000100481</t>
  </si>
  <si>
    <t>Nordox 75 WG x 20 LB</t>
  </si>
  <si>
    <t>'4000100498</t>
  </si>
  <si>
    <t>Nordox 75 WG x 25 Gramos</t>
  </si>
  <si>
    <t>'4000100497</t>
  </si>
  <si>
    <t>Nordox 75 WG x 250 Gramos</t>
  </si>
  <si>
    <t>'4000100499</t>
  </si>
  <si>
    <t>Nutrimon Solu NK-P x 25 Kg</t>
  </si>
  <si>
    <t>'4000100462</t>
  </si>
  <si>
    <t>Opistra - Calix Pure X 25 Kg</t>
  </si>
  <si>
    <t>'4000100362</t>
  </si>
  <si>
    <t>Opistra - Calix X 25 Kg</t>
  </si>
  <si>
    <t>Pend. De entrega</t>
  </si>
  <si>
    <t>'4000100355</t>
  </si>
  <si>
    <t>Opistra - Ferti Mag X 25 Kg</t>
  </si>
  <si>
    <t>'4000100709</t>
  </si>
  <si>
    <t>Opistra - MAGNISOL 1KG</t>
  </si>
  <si>
    <t>'4000100710</t>
  </si>
  <si>
    <t>Opistra - MAGNISOL 3KG</t>
  </si>
  <si>
    <t>'4000100360</t>
  </si>
  <si>
    <t>Opistra - Magnisol X 25 Kg</t>
  </si>
  <si>
    <t>'4000100506</t>
  </si>
  <si>
    <t>Opistra - Map 12-61-0 X 9 Kg</t>
  </si>
  <si>
    <t>'4000100370</t>
  </si>
  <si>
    <t>Opistra - Micro Fe 13.50% x 25 Kg</t>
  </si>
  <si>
    <t>'4000100646</t>
  </si>
  <si>
    <t>Opistra - Micro Fe x 5 Kg</t>
  </si>
  <si>
    <t>'MICRO EDTA 25KG</t>
  </si>
  <si>
    <t>Opistra - MicroCombo 25 Kg</t>
  </si>
  <si>
    <t>'MICRO COMBO EDTA 25KG</t>
  </si>
  <si>
    <t>Opistra - MicroCombo Tambor 25 Kg</t>
  </si>
  <si>
    <t>'MICRO EDTA 1KG</t>
  </si>
  <si>
    <t>Opistra - MicroCombo X 1 Kg</t>
  </si>
  <si>
    <t>'MICRO EDTA 5KG</t>
  </si>
  <si>
    <t>Opistra - MicroCombo X 5 Kg</t>
  </si>
  <si>
    <t>'4000100357</t>
  </si>
  <si>
    <t>Opistra - MKP 0-51-34 X 25 Kg</t>
  </si>
  <si>
    <t>(12 en Sacos Genericos, 13 Rotos)</t>
  </si>
  <si>
    <t>'4000100359</t>
  </si>
  <si>
    <t>Opistra - Solu Ks x 25 Kg</t>
  </si>
  <si>
    <t>'4000100692</t>
  </si>
  <si>
    <t>POEMA GATOS ESTERILIZADOS - CONTROL PESO 2KG</t>
  </si>
  <si>
    <t>'4000100690</t>
  </si>
  <si>
    <t>POEMA GATOS ESTERILIZADOS - CONTROL URINARIO 2KG</t>
  </si>
  <si>
    <t>'4000100688</t>
  </si>
  <si>
    <t>POEMA PERROS PATAGÓNICO 3KG</t>
  </si>
  <si>
    <t>'4000100647</t>
  </si>
  <si>
    <t>YaraBela Nitromag x 45 Kg</t>
  </si>
  <si>
    <t>35 Productos Alimenticios Pascual</t>
  </si>
  <si>
    <t>'4000100693</t>
  </si>
  <si>
    <t xml:space="preserve">MF 22.5-4.6-17.5-4.5(MG)-5.5(S) CON NX 45KG </t>
  </si>
  <si>
    <t>'40009973</t>
  </si>
  <si>
    <t>YARAMILA  ABOTEK 45 KG</t>
  </si>
  <si>
    <t>'40009976</t>
  </si>
  <si>
    <t>YaraMila 10-20-20 x 45 Kg</t>
  </si>
  <si>
    <t>'4000100684</t>
  </si>
  <si>
    <t>YARAMILA ABOTEK (15-4-23)  50 KG</t>
  </si>
  <si>
    <t>(13 en Sacos Rotos)</t>
  </si>
  <si>
    <t>'4000100648</t>
  </si>
  <si>
    <t>YaraMila NitroComplex x 45 Kg</t>
  </si>
  <si>
    <t>'4000100366</t>
  </si>
  <si>
    <t>YaraMila Rafos x 45 Kg</t>
  </si>
  <si>
    <t>'ABP-41</t>
  </si>
  <si>
    <t>ABP - Baubassil 1 Kg</t>
  </si>
  <si>
    <t>'ABP-07</t>
  </si>
  <si>
    <t>ABP - Tricho Drone H.V. 10 Sp x 1Kg</t>
  </si>
  <si>
    <t>'4000100689</t>
  </si>
  <si>
    <t>POEMA PERROS PATAGÓNICO 12KG</t>
  </si>
  <si>
    <t>'ABP-43</t>
  </si>
  <si>
    <t>Baubasil x 250 G</t>
  </si>
  <si>
    <t>'11208</t>
  </si>
  <si>
    <t>Disan Agro - Nutrimon 15-15-15 X 50 Kg</t>
  </si>
  <si>
    <t>'4000100599</t>
  </si>
  <si>
    <t>Fertilisa NPK 19-9-19 X 50 Kg</t>
  </si>
  <si>
    <t>'4000100603</t>
  </si>
  <si>
    <t>HALOFOR 75 WG 1KG</t>
  </si>
  <si>
    <t>'ABP-01</t>
  </si>
  <si>
    <t>Insecbiol 10 Wp x 1Kg</t>
  </si>
  <si>
    <t>'4000100520</t>
  </si>
  <si>
    <t>Manttra - Azufertil 5E x 50 Kg</t>
  </si>
  <si>
    <t>'4000100455</t>
  </si>
  <si>
    <t>MF 25.7-6.9-21 con Nitro Xtend X 45 Kg</t>
  </si>
  <si>
    <t>'P-051199</t>
  </si>
  <si>
    <t>MF 28-6.9-18 CON NITRO XTEND 45 KG C</t>
  </si>
  <si>
    <t>'P-0511992</t>
  </si>
  <si>
    <t>Mf 28-6.9-18 Con Nitro Xtend x 50 Kg C</t>
  </si>
  <si>
    <t>'ABP-38</t>
  </si>
  <si>
    <t>Micorrizol x 1 Kg</t>
  </si>
  <si>
    <t>'ABP-37</t>
  </si>
  <si>
    <t>Micorrizol x 8 Kg</t>
  </si>
  <si>
    <t>'MONO17</t>
  </si>
  <si>
    <t>Monomeros - NPK Nutrimon 17-6-18 X 50 Kg</t>
  </si>
  <si>
    <t>'4000100475</t>
  </si>
  <si>
    <t>Monomeros - Nutrimon Enpalma K x 50 Kg</t>
  </si>
  <si>
    <t>'53502</t>
  </si>
  <si>
    <t xml:space="preserve">SUR DOLOMAG  50KG                           </t>
  </si>
  <si>
    <t>'4000100501</t>
  </si>
  <si>
    <t>Monomeros - Nutrimon Produmon 12-8-24 X 50 Kg</t>
  </si>
  <si>
    <t>'4000100453</t>
  </si>
  <si>
    <t>Monomeros - Nutrimon Urea 46% X 50 Kg</t>
  </si>
  <si>
    <t>'4000100639</t>
  </si>
  <si>
    <t>Mop Gra 60K20 x 45 Kg</t>
  </si>
  <si>
    <t>'4000100500</t>
  </si>
  <si>
    <t>Nutricarga 19-4-18 X 50 Kg</t>
  </si>
  <si>
    <t>'11206</t>
  </si>
  <si>
    <t>Nutrimon 13-26-6 X 50 Kg</t>
  </si>
  <si>
    <t>'4000100507</t>
  </si>
  <si>
    <t>Nutrimon Nitrasam no Conforme X 50 Kg</t>
  </si>
  <si>
    <t>'4000100476</t>
  </si>
  <si>
    <t>Nutrimon Nitrasam x 50 Kg</t>
  </si>
  <si>
    <t>'4000100598</t>
  </si>
  <si>
    <t>Nutrimon NPK 17-6-18 x 50 Kg</t>
  </si>
  <si>
    <t>'11210</t>
  </si>
  <si>
    <t>Nutrimon Produmon 12-8-24  50KG</t>
  </si>
  <si>
    <t>'11209</t>
  </si>
  <si>
    <t>Nutrimon Sembramon X 50 Kg</t>
  </si>
  <si>
    <t>'4000100618</t>
  </si>
  <si>
    <t>Talante (Thiametoxan) 250 G</t>
  </si>
  <si>
    <t>'ABP-04</t>
  </si>
  <si>
    <t>Tricho H.V. 10 Sp x 1Kg</t>
  </si>
  <si>
    <t>'4000100632</t>
  </si>
  <si>
    <t>Urea 46% con NX x 45 Kg</t>
  </si>
  <si>
    <t>'4000100419</t>
  </si>
  <si>
    <t>Urea 46% x 45 Kg</t>
  </si>
  <si>
    <t>'4000100504</t>
  </si>
  <si>
    <t>'4000100391</t>
  </si>
  <si>
    <t>YaraLiva Calcinit X 25 Kg</t>
  </si>
  <si>
    <t>'4000100388</t>
  </si>
  <si>
    <t>YaraVera Amidas 45Kg</t>
  </si>
  <si>
    <t>'4000100625</t>
  </si>
  <si>
    <t>Fertilisa W NPK 19-9-19 no conforme x 50 Kg</t>
  </si>
  <si>
    <t>'11256</t>
  </si>
  <si>
    <t>Nutrimon Enpalma K x 50 Kg</t>
  </si>
  <si>
    <t>'4000100358</t>
  </si>
  <si>
    <t>Opistra - Map 12-61-0 X 25 Kg</t>
  </si>
  <si>
    <t>'4000100594</t>
  </si>
  <si>
    <t>Bio - Veria 4 WP x 1 Kg</t>
  </si>
  <si>
    <t>'4000100637</t>
  </si>
  <si>
    <t>Bio - Tri  Max 3 WP x 1 Kg</t>
  </si>
  <si>
    <t>'4000100457</t>
  </si>
  <si>
    <t>MF 28-6.9-18 Con Nitro Xtend x 45 Kg</t>
  </si>
  <si>
    <t>'4000100354</t>
  </si>
  <si>
    <t>Opistra - Ferti K X 25Kg</t>
  </si>
  <si>
    <t>'40010136</t>
  </si>
  <si>
    <t>YaraMila Hydran x 45 Kg</t>
  </si>
  <si>
    <t>'4000100566</t>
  </si>
  <si>
    <t>YaraTera Nitrabor x 45 Kg</t>
  </si>
  <si>
    <t>'4000100687</t>
  </si>
  <si>
    <t>CAL DOLOMITA PLUS 50 KGS</t>
  </si>
  <si>
    <t>'4000100521</t>
  </si>
  <si>
    <t>Manttra - Granumax 2.1S x 50 Kg</t>
  </si>
  <si>
    <t>'4000100373</t>
  </si>
  <si>
    <t>YaraMila Complex  45Kg</t>
  </si>
  <si>
    <t>'4000100456</t>
  </si>
  <si>
    <t>MF 12.6-32.2-18 con Nitro Xtend X 45 Kg</t>
  </si>
  <si>
    <t>'4000100591</t>
  </si>
  <si>
    <t>Bio - Tri  Max 3 WP x 500 G</t>
  </si>
  <si>
    <t>'4000100568</t>
  </si>
  <si>
    <t>Liquidos</t>
  </si>
  <si>
    <t>'ABP-22</t>
  </si>
  <si>
    <t>ABP - Fosfobacs x Galon</t>
  </si>
  <si>
    <t>'MQU631</t>
  </si>
  <si>
    <t>Acido Fosforico (Carboya 35 Kg)</t>
  </si>
  <si>
    <t>'MQU631-1</t>
  </si>
  <si>
    <t>Acido Fosforico x galon</t>
  </si>
  <si>
    <t>'4000100416</t>
  </si>
  <si>
    <t>Brandt  Manni Plex B-Moly x 1 Lts</t>
  </si>
  <si>
    <t>'4000100417</t>
  </si>
  <si>
    <t>Brandt  Manni Plex B-Moly x 10 Lts</t>
  </si>
  <si>
    <t>'4000100412</t>
  </si>
  <si>
    <t>Brandt  Manni Plex Ca x 1 Lts</t>
  </si>
  <si>
    <t>'4000100413</t>
  </si>
  <si>
    <t>Brandt  Manni Plex Ca x 10 Lts</t>
  </si>
  <si>
    <t>'4000100516</t>
  </si>
  <si>
    <t>Brandt  Manni Plex Cal-B x 10 Lts</t>
  </si>
  <si>
    <t>'4000100447</t>
  </si>
  <si>
    <t>Brandt  Manni Plex Cal-B x Lts</t>
  </si>
  <si>
    <t>'4000100517</t>
  </si>
  <si>
    <t>Brandt  Manni Plex Cal-Mag x 10 Lts</t>
  </si>
  <si>
    <t>'4000100450</t>
  </si>
  <si>
    <t>Brandt  Manni Plex Cal-Mag x Lts</t>
  </si>
  <si>
    <t>'4000100515</t>
  </si>
  <si>
    <t>Brandt  Manni Plex Ca-Zn X 10Lts</t>
  </si>
  <si>
    <t>'4000100446</t>
  </si>
  <si>
    <t>Brandt  Manni Plex Ca-Zn X Lts</t>
  </si>
  <si>
    <t>'4000100445</t>
  </si>
  <si>
    <t>Brandt  Manni Plex EnzUp Zn x Lts</t>
  </si>
  <si>
    <t>'4000100414</t>
  </si>
  <si>
    <t>Brandt  Manni Plex K x 1 Lt</t>
  </si>
  <si>
    <t>'4000100415</t>
  </si>
  <si>
    <t>Brandt  Manni Plex K x 10 Lt</t>
  </si>
  <si>
    <t>'4000100320</t>
  </si>
  <si>
    <t>Brandt  Manni Plex Mg 1 Lts</t>
  </si>
  <si>
    <t>'4000100449</t>
  </si>
  <si>
    <t>Brandt  Manni Plex Mn x Lts</t>
  </si>
  <si>
    <t>'4000100477</t>
  </si>
  <si>
    <t>Brandt  Manni Plex Multimineral x 1 Lts</t>
  </si>
  <si>
    <t>'4000100411</t>
  </si>
  <si>
    <t>Brandt  Manni Plex Multimineral x 10 Lts</t>
  </si>
  <si>
    <t>4 en envases manchados y vencidos</t>
  </si>
  <si>
    <t>'4000100322</t>
  </si>
  <si>
    <t>Brandt  Manni Plex N-Boron X 1 Lts</t>
  </si>
  <si>
    <t>'4000100330</t>
  </si>
  <si>
    <t>Brandt  Manni Plex Plant Start X 10 Lts</t>
  </si>
  <si>
    <t>'4000100319</t>
  </si>
  <si>
    <t>Brandt  Manni Plex Plant Start X Lts</t>
  </si>
  <si>
    <t>'4000100448</t>
  </si>
  <si>
    <t>Brandt  Manni Plex Si x Lts</t>
  </si>
  <si>
    <t>'4000100321</t>
  </si>
  <si>
    <t>Brandt  Manni Plex Zn x 1 Lts</t>
  </si>
  <si>
    <t>'4000100482</t>
  </si>
  <si>
    <t>Brandt  Organiplex  Mg X Lt</t>
  </si>
  <si>
    <t>'4000100484</t>
  </si>
  <si>
    <t>Brandt  Organiplex  Micro Mix X  10 Lt</t>
  </si>
  <si>
    <t>'4000100483</t>
  </si>
  <si>
    <t>Brandt  Organiplex  Micro Mix X Lt</t>
  </si>
  <si>
    <t>'4000100444</t>
  </si>
  <si>
    <t>Brandt  Smart K B x 1 Lts</t>
  </si>
  <si>
    <t>'4000100478</t>
  </si>
  <si>
    <t>Brandt  Smart K B x 10 Lts</t>
  </si>
  <si>
    <t>'4000100479</t>
  </si>
  <si>
    <t>Brandt  Smart Trio x 10 Lts</t>
  </si>
  <si>
    <t>'4000100443</t>
  </si>
  <si>
    <t>Brandt  Smart Trio x Lts</t>
  </si>
  <si>
    <t>'4000100333</t>
  </si>
  <si>
    <t>Brandt Manni Plex N-Boron X 10 Lts</t>
  </si>
  <si>
    <t>'4000100332</t>
  </si>
  <si>
    <t>Brandt Manni Plex Zinc x 10 Lts</t>
  </si>
  <si>
    <t>'4000100606</t>
  </si>
  <si>
    <t>Lyon 20 Lts</t>
  </si>
  <si>
    <t>'4000100624</t>
  </si>
  <si>
    <t>PAGRORAC 25SC (QUINCLORAC)  20LT</t>
  </si>
  <si>
    <t>'4000100546</t>
  </si>
  <si>
    <t>Quiver Cuaje x 1 Lts</t>
  </si>
  <si>
    <t>'4000100552</t>
  </si>
  <si>
    <t>Quiver Fresh x 1 Lts</t>
  </si>
  <si>
    <t>'4000100522</t>
  </si>
  <si>
    <t>Quiver Fructon LQ 20 x Lts</t>
  </si>
  <si>
    <t>'4000100555</t>
  </si>
  <si>
    <t>Quiver Nitro Fort x Lts</t>
  </si>
  <si>
    <t>'4000100543</t>
  </si>
  <si>
    <t>Quiver Raiz X Lts</t>
  </si>
  <si>
    <t>'4000100561</t>
  </si>
  <si>
    <t>Quiver Setting 4 x 100 G</t>
  </si>
  <si>
    <t>'ABP-19</t>
  </si>
  <si>
    <t>ABP - Bacter DMO x Galon</t>
  </si>
  <si>
    <t>'ABP-16</t>
  </si>
  <si>
    <t>ABP - Nutribacter Suelo 1 Galon</t>
  </si>
  <si>
    <t>'4000100611</t>
  </si>
  <si>
    <t>PREDATOR 50 EC 10LT</t>
  </si>
  <si>
    <t>'4000100610</t>
  </si>
  <si>
    <t>PREDATOR 50 EC 20L</t>
  </si>
  <si>
    <t>'4000100615</t>
  </si>
  <si>
    <t>CAMPO LOX (HALOXYFOP) 10LT</t>
  </si>
  <si>
    <t>'4000100614</t>
  </si>
  <si>
    <t>QUICK 12,30 EC (QUIZALOFOP) 10LT</t>
  </si>
  <si>
    <t>'ABP-17</t>
  </si>
  <si>
    <t>ABP - Nutribacter Suelo x Lt</t>
  </si>
  <si>
    <t>'ABP-29</t>
  </si>
  <si>
    <t>ABP - Rhizobacs 10 Sc x Lts</t>
  </si>
  <si>
    <t>'4000100331</t>
  </si>
  <si>
    <t>Brandt  Manni Plex Mg 10 Lts</t>
  </si>
  <si>
    <t>'40001354</t>
  </si>
  <si>
    <t>Agrotecnica - Activador x 5 Lts</t>
  </si>
  <si>
    <t>'4000100531</t>
  </si>
  <si>
    <t>Brandt Organiplex Fe (Flo-Plex FMZ) x Lts</t>
  </si>
  <si>
    <t>'ABP-32</t>
  </si>
  <si>
    <t>ABP - Rhizobacter x Lts</t>
  </si>
  <si>
    <t>'4000100519</t>
  </si>
  <si>
    <t>Opera 18.3 SE x 5 Lts</t>
  </si>
  <si>
    <t>'ABP-26</t>
  </si>
  <si>
    <t>Turincol x 1 Lt</t>
  </si>
  <si>
    <t>'4000100324</t>
  </si>
  <si>
    <t>Brandt Manni Plex Mg 4 Lts</t>
  </si>
  <si>
    <t>'ABP-10</t>
  </si>
  <si>
    <t>Fungibacs 20 Sc x Galon</t>
  </si>
  <si>
    <t>'ABP-11</t>
  </si>
  <si>
    <t>Fungibacs 20 Sc x Lt</t>
  </si>
  <si>
    <t>'ABP-20</t>
  </si>
  <si>
    <t>Bacter DMO x Lt</t>
  </si>
  <si>
    <t>'ABP-23</t>
  </si>
  <si>
    <t>Fosfobacs x Lt</t>
  </si>
  <si>
    <t>'ABP-14</t>
  </si>
  <si>
    <t>Bacter Crecimiento x Lt</t>
  </si>
  <si>
    <t>'4000100619</t>
  </si>
  <si>
    <t>Obulus (Lambdacyalotrina) 5 L</t>
  </si>
  <si>
    <t>'4000100548</t>
  </si>
  <si>
    <t>Quiver Cuaje x 20 Lts</t>
  </si>
  <si>
    <t>'4000100612</t>
  </si>
  <si>
    <t>Predator 50 EC 1LT</t>
  </si>
  <si>
    <t>'4000100542</t>
  </si>
  <si>
    <t>Manvert Azumix x 5 Lts</t>
  </si>
  <si>
    <t>'4000100442</t>
  </si>
  <si>
    <t>Brandt  Manni Plex Organiplex 4% Fe X 2.5 Gal</t>
  </si>
  <si>
    <t>'MELAZA</t>
  </si>
  <si>
    <t>Melaza x 6 Gal</t>
  </si>
  <si>
    <t>'ABP-13</t>
  </si>
  <si>
    <t>ABP - Bacter Crecimiento x Galon</t>
  </si>
  <si>
    <t>'ABP-34</t>
  </si>
  <si>
    <t>ABP - Bio Add x Galon</t>
  </si>
  <si>
    <t>'ABP-25</t>
  </si>
  <si>
    <t>ABP - Turincol 1 Galon</t>
  </si>
  <si>
    <t>'4000100545</t>
  </si>
  <si>
    <t>Quiver Raiz x 20 Lts</t>
  </si>
  <si>
    <t>'4000100549</t>
  </si>
  <si>
    <t>Quiver Fructon LQ x Lts</t>
  </si>
  <si>
    <t>'4000100683</t>
  </si>
  <si>
    <t>Manvert Phytosoap x Lts</t>
  </si>
  <si>
    <t>'40001353</t>
  </si>
  <si>
    <t>Agrotecnica - Activador x 20 LTS</t>
  </si>
  <si>
    <t>'ABP-35</t>
  </si>
  <si>
    <t>ABP - Bio Add  x 1 Lt</t>
  </si>
  <si>
    <t>'4000100559</t>
  </si>
  <si>
    <t>Quiver Oxigeno 100 ME x 5 Lts</t>
  </si>
  <si>
    <t>'ABP-40</t>
  </si>
  <si>
    <t>ABP - MM Liquido x 1 Lts</t>
  </si>
  <si>
    <t>'40001352</t>
  </si>
  <si>
    <t>Agrotecnica - Activador x  Lts</t>
  </si>
  <si>
    <t>Material para Invernaderos - Sustrato y Otros</t>
  </si>
  <si>
    <t>'4000100527</t>
  </si>
  <si>
    <t>Canaleta Hidroponica Blanca 700 Rollo 120mx35</t>
  </si>
  <si>
    <t>N/A</t>
  </si>
  <si>
    <t>'4000100528</t>
  </si>
  <si>
    <t>Ground Cover Blanco Rollo 200mx2m</t>
  </si>
  <si>
    <t>'4000100530</t>
  </si>
  <si>
    <t>Ground Cover Blanco X 1M</t>
  </si>
  <si>
    <t>'4000100491</t>
  </si>
  <si>
    <t>Jiffy Bandeja Coco Plastica 35mm Un</t>
  </si>
  <si>
    <t>'4000100493</t>
  </si>
  <si>
    <t>Jiffy Bolsa de Crecimiento coco mix Esse SC18L</t>
  </si>
  <si>
    <t>14 En mal estado</t>
  </si>
  <si>
    <t>'4000100492</t>
  </si>
  <si>
    <t>Jiffy Maceta Biodegradable Redonda 6.2x5.7 CJ2816</t>
  </si>
  <si>
    <t>'4000100496</t>
  </si>
  <si>
    <t>Jiffy Pellet Horticola 50x150 Bio Net Osmo</t>
  </si>
  <si>
    <t>'4000100650</t>
  </si>
  <si>
    <t>Manta Agricola (17G - 1.6M X 1000M)</t>
  </si>
  <si>
    <t>'4000100678</t>
  </si>
  <si>
    <t>Mulch Blanco Negro (0.8MM X 48PULG X 1500M) Liso</t>
  </si>
  <si>
    <t>'4000100677</t>
  </si>
  <si>
    <t>Mulch Plata Negro (0.7MM X 48PULG X 1500M) Liso</t>
  </si>
  <si>
    <t>'4000100679</t>
  </si>
  <si>
    <t>Mulch Plata Negro (0.7MM X 52PULG X 1500M PC20)</t>
  </si>
  <si>
    <t>'4000100680</t>
  </si>
  <si>
    <t>Mulch Plata Negro 48 PLG Liso Calibre 0.75</t>
  </si>
  <si>
    <t>'4000100503</t>
  </si>
  <si>
    <t>QTS Bolsa de sustrato de turba 250 Lts</t>
  </si>
  <si>
    <t>100 Alicia Lee Loo, 200 Productos Noemi</t>
  </si>
  <si>
    <t>'4000100502</t>
  </si>
  <si>
    <t>QTS Bolsa de sustrato de turba con Perlitas 250 Lts</t>
  </si>
  <si>
    <t>'4000100675</t>
  </si>
  <si>
    <t xml:space="preserve">Saran Azul 90% Sombra 3.70X100 </t>
  </si>
  <si>
    <t>'4000100674</t>
  </si>
  <si>
    <t>Saran Negro 80% Sombra 3.70X100 (Con Ojetes)</t>
  </si>
  <si>
    <t>'4000100673</t>
  </si>
  <si>
    <t xml:space="preserve">Saran Negro 90% Sombra (3.70M X 100M) </t>
  </si>
  <si>
    <t>'4000100676</t>
  </si>
  <si>
    <t>Saran Negro 90% Sombra 3.70X100 (Con Ojetes)</t>
  </si>
  <si>
    <t>'4000100526</t>
  </si>
  <si>
    <t>Spacer Negro (Soportes Plasticos)</t>
  </si>
  <si>
    <t>'4000100489</t>
  </si>
  <si>
    <t>Jiffy Pellet Horticola 36x75 - 96 Bionet</t>
  </si>
  <si>
    <t>'4000100495</t>
  </si>
  <si>
    <t>Jiffy Pellet Horticola 50x150 Bio</t>
  </si>
  <si>
    <t>'4000100529</t>
  </si>
  <si>
    <t>Canaleta Hidroponica Blanca 700 x 1M</t>
  </si>
  <si>
    <t>'4000100597</t>
  </si>
  <si>
    <t>Bandeja de Crecimiento Larga</t>
  </si>
  <si>
    <t>Fisico en bodega</t>
  </si>
  <si>
    <t>'4000100653</t>
  </si>
  <si>
    <t>Saran Negro 50% Sombra (3.70M X 100M)</t>
  </si>
  <si>
    <t>'4000100654</t>
  </si>
  <si>
    <t>Saran Negro 50% Sombra (3.70M X 100M) Con Ojetes</t>
  </si>
  <si>
    <t>'4000100487</t>
  </si>
  <si>
    <t>Jiffy Bolsa de Crecimiento 70/30 Coco Mix-SC 18L</t>
  </si>
  <si>
    <t>'4000100488</t>
  </si>
  <si>
    <t>Jiffy Pellet Horticola 42x75 - 70 CJ840</t>
  </si>
  <si>
    <t>'4000100494</t>
  </si>
  <si>
    <t>Jiffy Bolsa de Crecimiento coco mix Esse SC12L</t>
  </si>
  <si>
    <t>Material</t>
  </si>
  <si>
    <t>Estado</t>
  </si>
  <si>
    <t>Sistema</t>
  </si>
  <si>
    <t>'4000100518</t>
  </si>
  <si>
    <t>Jiffy Bloque de coco fino 5Kg 60L</t>
  </si>
  <si>
    <t>Pendiente de entrega</t>
  </si>
  <si>
    <t>4 Cajas Rotas</t>
  </si>
  <si>
    <t>'12757</t>
  </si>
  <si>
    <t>Manvert Amino 24 Fri Lts</t>
  </si>
  <si>
    <t>'12759</t>
  </si>
  <si>
    <t>Manvert Amino 24 Gr5 5Lts</t>
  </si>
  <si>
    <t>14 Envases Manchados, 80 Limpios</t>
  </si>
  <si>
    <t>'4000100541</t>
  </si>
  <si>
    <t>Manvert Azumix x Lt</t>
  </si>
  <si>
    <t>'12716</t>
  </si>
  <si>
    <t>Manvert Complex - 5 x Lt</t>
  </si>
  <si>
    <t>'12718</t>
  </si>
  <si>
    <t>Manvert Complex - FR1 x Lt</t>
  </si>
  <si>
    <t>'4000100535</t>
  </si>
  <si>
    <t>Manvert Miconic x 5 Lts</t>
  </si>
  <si>
    <t>'12665</t>
  </si>
  <si>
    <t>Manvert Miconic x Lt</t>
  </si>
  <si>
    <t>'4000100536</t>
  </si>
  <si>
    <t>Manvert Movili Ca x Kg</t>
  </si>
  <si>
    <t>'4000100540</t>
  </si>
  <si>
    <t>Manvert Win Ca x 20 Lts</t>
  </si>
  <si>
    <t>'4000100539</t>
  </si>
  <si>
    <t>Manvert Win Ca x 5 Lts</t>
  </si>
  <si>
    <t>'4000100538</t>
  </si>
  <si>
    <t>Manvert ZNB Tracker x 5Lts</t>
  </si>
  <si>
    <t>'4000100537</t>
  </si>
  <si>
    <t>Manvert ZNB Tracker x Lt</t>
  </si>
  <si>
    <t>'4000100490</t>
  </si>
  <si>
    <t>Jiffy Pellet Coco 35X58 mm NPK CJ1078</t>
  </si>
  <si>
    <t>'10994</t>
  </si>
  <si>
    <t>Manvert Defense Cu - FR1 x Lt</t>
  </si>
  <si>
    <t>GranuPotasse x 25 Kg</t>
  </si>
  <si>
    <t>Jiffy bolsa de crecimiento 70/30 coco mix-sc 18L</t>
  </si>
  <si>
    <t>'4000100524</t>
  </si>
  <si>
    <t>Jiffy Turba Prensada Perlita fina 225L</t>
  </si>
  <si>
    <t>'4000100525</t>
  </si>
  <si>
    <t>Jiffy Turba Prensada Fina 225L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</si>
</sst>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#,##0\ &quot;En Bod. ABP&quot;"/>
    <numFmt numFmtId="166" formatCode="#,##0\ &quot;Por ingresar al sistema&quot;"/>
    <numFmt numFmtId="167" formatCode="#,##0\ &quot;Defectuosos&quot;"/>
    <numFmt numFmtId="168" formatCode="_(* #,##0.00_);_(* \(#,##0.00\);_(* &quot;-&quot;??_);_(@_)"/>
    <numFmt numFmtId="169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0"/>
      <name val="Tahoma"/>
      <family val="2"/>
    </font>
    <font>
      <sz val="9"/>
      <name val="Tahoma"/>
      <family val="2"/>
    </font>
    <font>
      <sz val="9"/>
      <color rgb="FFFF0000"/>
      <name val="Tahoma"/>
      <family val="2"/>
    </font>
    <font>
      <sz val="9"/>
      <color theme="1"/>
      <name val="Cambria"/>
      <family val="1"/>
    </font>
    <font>
      <sz val="8"/>
      <color theme="1"/>
      <name val="Cambria"/>
      <family val="1"/>
    </font>
    <font>
      <sz val="8"/>
      <color theme="0"/>
      <name val="Cambria"/>
      <family val="1"/>
    </font>
    <font>
      <b/>
      <sz val="8"/>
      <color theme="0"/>
      <name val="Cambria"/>
      <family val="1"/>
    </font>
    <font>
      <sz val="8"/>
      <name val="Cambria"/>
      <family val="1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theme="1"/>
      </left>
      <right/>
      <top style="thin">
        <color theme="4" tint="0.39997558519241921"/>
      </top>
      <bottom style="hair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auto="1"/>
      </left>
      <right/>
      <top style="thin">
        <color theme="4" tint="0.39997558519241921"/>
      </top>
      <bottom/>
      <diagonal/>
    </border>
    <border>
      <left/>
      <right style="medium">
        <color auto="1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auto="1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auto="1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medium">
        <color auto="1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theme="1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medium">
        <color theme="1"/>
      </left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8" fontId="11" fillId="0" borderId="0" applyFont="0" applyFill="0" applyBorder="0" applyAlignment="0" applyProtection="0"/>
  </cellStyleXfs>
  <cellXfs count="193">
    <xf numFmtId="0" fontId="0" fillId="0" borderId="0" xfId="0"/>
    <xf numFmtId="3" fontId="1" fillId="2" borderId="0" xfId="0" applyNumberFormat="1" applyFont="1" applyFill="1"/>
    <xf numFmtId="0" fontId="1" fillId="0" borderId="0" xfId="0" applyFont="1"/>
    <xf numFmtId="0" fontId="2" fillId="0" borderId="0" xfId="0" applyFont="1"/>
    <xf numFmtId="3" fontId="3" fillId="2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4" fillId="0" borderId="0" xfId="0" applyNumberFormat="1" applyFont="1"/>
    <xf numFmtId="0" fontId="1" fillId="2" borderId="6" xfId="0" applyFont="1" applyFill="1" applyBorder="1"/>
    <xf numFmtId="0" fontId="1" fillId="2" borderId="7" xfId="0" applyFont="1" applyFill="1" applyBorder="1"/>
    <xf numFmtId="3" fontId="1" fillId="2" borderId="8" xfId="0" applyNumberFormat="1" applyFont="1" applyFill="1" applyBorder="1" applyAlignment="1">
      <alignment horizontal="left"/>
    </xf>
    <xf numFmtId="3" fontId="1" fillId="2" borderId="7" xfId="0" applyNumberFormat="1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/>
    <xf numFmtId="165" fontId="1" fillId="2" borderId="10" xfId="0" applyNumberFormat="1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/>
    <xf numFmtId="0" fontId="1" fillId="2" borderId="10" xfId="0" applyFont="1" applyFill="1" applyBorder="1"/>
    <xf numFmtId="0" fontId="1" fillId="2" borderId="15" xfId="0" applyFont="1" applyFill="1" applyBorder="1"/>
    <xf numFmtId="3" fontId="1" fillId="2" borderId="6" xfId="0" applyNumberFormat="1" applyFont="1" applyFill="1" applyBorder="1" applyAlignment="1">
      <alignment horizontal="left"/>
    </xf>
    <xf numFmtId="3" fontId="1" fillId="2" borderId="16" xfId="0" applyNumberFormat="1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11" xfId="0" applyFont="1" applyBorder="1"/>
    <xf numFmtId="3" fontId="4" fillId="0" borderId="15" xfId="0" applyNumberFormat="1" applyFont="1" applyBorder="1"/>
    <xf numFmtId="0" fontId="5" fillId="2" borderId="10" xfId="0" applyFont="1" applyFill="1" applyBorder="1"/>
    <xf numFmtId="3" fontId="4" fillId="0" borderId="18" xfId="0" applyNumberFormat="1" applyFont="1" applyBorder="1"/>
    <xf numFmtId="3" fontId="4" fillId="0" borderId="19" xfId="0" applyNumberFormat="1" applyFont="1" applyBorder="1"/>
    <xf numFmtId="0" fontId="1" fillId="2" borderId="12" xfId="0" applyFont="1" applyFill="1" applyBorder="1"/>
    <xf numFmtId="3" fontId="1" fillId="2" borderId="11" xfId="0" applyNumberFormat="1" applyFont="1" applyFill="1" applyBorder="1" applyAlignment="1">
      <alignment horizontal="left"/>
    </xf>
    <xf numFmtId="3" fontId="1" fillId="2" borderId="14" xfId="0" applyNumberFormat="1" applyFont="1" applyFill="1" applyBorder="1" applyAlignment="1">
      <alignment horizontal="left"/>
    </xf>
    <xf numFmtId="164" fontId="1" fillId="2" borderId="15" xfId="0" applyNumberFormat="1" applyFont="1" applyFill="1" applyBorder="1" applyAlignment="1">
      <alignment horizontal="left"/>
    </xf>
    <xf numFmtId="166" fontId="1" fillId="2" borderId="20" xfId="0" applyNumberFormat="1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0" borderId="22" xfId="0" applyFont="1" applyBorder="1"/>
    <xf numFmtId="0" fontId="1" fillId="2" borderId="23" xfId="0" applyFont="1" applyFill="1" applyBorder="1"/>
    <xf numFmtId="3" fontId="1" fillId="2" borderId="22" xfId="0" applyNumberFormat="1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3" fontId="1" fillId="2" borderId="25" xfId="0" applyNumberFormat="1" applyFont="1" applyFill="1" applyBorder="1" applyAlignment="1">
      <alignment horizontal="left"/>
    </xf>
    <xf numFmtId="0" fontId="1" fillId="2" borderId="26" xfId="0" applyFont="1" applyFill="1" applyBorder="1"/>
    <xf numFmtId="0" fontId="5" fillId="2" borderId="10" xfId="0" applyFont="1" applyFill="1" applyBorder="1" applyAlignment="1">
      <alignment horizontal="left"/>
    </xf>
    <xf numFmtId="0" fontId="1" fillId="2" borderId="6" xfId="0" quotePrefix="1" applyFont="1" applyFill="1" applyBorder="1"/>
    <xf numFmtId="0" fontId="1" fillId="2" borderId="9" xfId="0" applyFont="1" applyFill="1" applyBorder="1"/>
    <xf numFmtId="0" fontId="6" fillId="2" borderId="14" xfId="0" applyFont="1" applyFill="1" applyBorder="1"/>
    <xf numFmtId="0" fontId="1" fillId="2" borderId="20" xfId="0" applyFont="1" applyFill="1" applyBorder="1"/>
    <xf numFmtId="0" fontId="5" fillId="2" borderId="20" xfId="0" applyFont="1" applyFill="1" applyBorder="1" applyAlignment="1">
      <alignment horizontal="left"/>
    </xf>
    <xf numFmtId="0" fontId="1" fillId="2" borderId="28" xfId="0" applyFont="1" applyFill="1" applyBorder="1"/>
    <xf numFmtId="3" fontId="1" fillId="2" borderId="29" xfId="0" applyNumberFormat="1" applyFont="1" applyFill="1" applyBorder="1" applyAlignment="1">
      <alignment horizontal="left"/>
    </xf>
    <xf numFmtId="3" fontId="1" fillId="2" borderId="30" xfId="0" applyNumberFormat="1" applyFont="1" applyFill="1" applyBorder="1" applyAlignment="1">
      <alignment horizontal="left"/>
    </xf>
    <xf numFmtId="164" fontId="1" fillId="2" borderId="31" xfId="0" applyNumberFormat="1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3" fontId="1" fillId="2" borderId="28" xfId="0" applyNumberFormat="1" applyFont="1" applyFill="1" applyBorder="1" applyAlignment="1">
      <alignment horizontal="left"/>
    </xf>
    <xf numFmtId="0" fontId="1" fillId="2" borderId="33" xfId="0" applyFont="1" applyFill="1" applyBorder="1"/>
    <xf numFmtId="0" fontId="1" fillId="2" borderId="34" xfId="0" applyFont="1" applyFill="1" applyBorder="1"/>
    <xf numFmtId="3" fontId="1" fillId="2" borderId="35" xfId="0" applyNumberFormat="1" applyFont="1" applyFill="1" applyBorder="1" applyAlignment="1">
      <alignment horizontal="left"/>
    </xf>
    <xf numFmtId="3" fontId="1" fillId="2" borderId="34" xfId="0" applyNumberFormat="1" applyFont="1" applyFill="1" applyBorder="1" applyAlignment="1">
      <alignment horizontal="left"/>
    </xf>
    <xf numFmtId="164" fontId="1" fillId="2" borderId="36" xfId="0" applyNumberFormat="1" applyFont="1" applyFill="1" applyBorder="1" applyAlignment="1">
      <alignment horizontal="left"/>
    </xf>
    <xf numFmtId="0" fontId="1" fillId="2" borderId="37" xfId="0" applyFont="1" applyFill="1" applyBorder="1" applyAlignment="1">
      <alignment horizontal="left"/>
    </xf>
    <xf numFmtId="3" fontId="4" fillId="0" borderId="23" xfId="0" applyNumberFormat="1" applyFont="1" applyBorder="1"/>
    <xf numFmtId="0" fontId="1" fillId="2" borderId="22" xfId="0" applyFont="1" applyFill="1" applyBorder="1"/>
    <xf numFmtId="0" fontId="1" fillId="2" borderId="25" xfId="0" applyFont="1" applyFill="1" applyBorder="1"/>
    <xf numFmtId="164" fontId="1" fillId="2" borderId="25" xfId="0" applyNumberFormat="1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164" fontId="1" fillId="2" borderId="14" xfId="0" applyNumberFormat="1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165" fontId="1" fillId="2" borderId="14" xfId="0" applyNumberFormat="1" applyFont="1" applyFill="1" applyBorder="1" applyAlignment="1">
      <alignment horizontal="left"/>
    </xf>
    <xf numFmtId="0" fontId="1" fillId="4" borderId="14" xfId="0" applyFont="1" applyFill="1" applyBorder="1"/>
    <xf numFmtId="0" fontId="4" fillId="2" borderId="14" xfId="0" applyFont="1" applyFill="1" applyBorder="1" applyAlignment="1">
      <alignment horizontal="left"/>
    </xf>
    <xf numFmtId="3" fontId="4" fillId="0" borderId="21" xfId="0" applyNumberFormat="1" applyFont="1" applyBorder="1"/>
    <xf numFmtId="0" fontId="1" fillId="0" borderId="14" xfId="0" applyFont="1" applyBorder="1"/>
    <xf numFmtId="0" fontId="1" fillId="2" borderId="16" xfId="0" applyFont="1" applyFill="1" applyBorder="1"/>
    <xf numFmtId="164" fontId="1" fillId="2" borderId="16" xfId="0" applyNumberFormat="1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3" fontId="1" fillId="2" borderId="26" xfId="0" applyNumberFormat="1" applyFont="1" applyFill="1" applyBorder="1" applyAlignment="1">
      <alignment horizontal="left"/>
    </xf>
    <xf numFmtId="3" fontId="1" fillId="2" borderId="15" xfId="0" applyNumberFormat="1" applyFont="1" applyFill="1" applyBorder="1" applyAlignment="1">
      <alignment horizontal="left"/>
    </xf>
    <xf numFmtId="164" fontId="1" fillId="2" borderId="17" xfId="0" applyNumberFormat="1" applyFont="1" applyFill="1" applyBorder="1" applyAlignment="1">
      <alignment horizontal="left"/>
    </xf>
    <xf numFmtId="3" fontId="1" fillId="2" borderId="10" xfId="0" applyNumberFormat="1" applyFont="1" applyFill="1" applyBorder="1" applyAlignment="1">
      <alignment horizontal="left"/>
    </xf>
    <xf numFmtId="0" fontId="1" fillId="2" borderId="17" xfId="0" applyFont="1" applyFill="1" applyBorder="1"/>
    <xf numFmtId="0" fontId="1" fillId="2" borderId="21" xfId="0" applyFont="1" applyFill="1" applyBorder="1"/>
    <xf numFmtId="3" fontId="1" fillId="2" borderId="38" xfId="0" applyNumberFormat="1" applyFont="1" applyFill="1" applyBorder="1" applyAlignment="1">
      <alignment horizontal="left"/>
    </xf>
    <xf numFmtId="3" fontId="1" fillId="2" borderId="21" xfId="0" applyNumberFormat="1" applyFont="1" applyFill="1" applyBorder="1" applyAlignment="1">
      <alignment horizontal="left"/>
    </xf>
    <xf numFmtId="164" fontId="1" fillId="2" borderId="18" xfId="0" applyNumberFormat="1" applyFont="1" applyFill="1" applyBorder="1" applyAlignment="1">
      <alignment horizontal="left"/>
    </xf>
    <xf numFmtId="0" fontId="1" fillId="2" borderId="19" xfId="0" applyFont="1" applyFill="1" applyBorder="1"/>
    <xf numFmtId="0" fontId="1" fillId="2" borderId="39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3" borderId="4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1" fillId="2" borderId="0" xfId="0" applyFont="1" applyFill="1"/>
    <xf numFmtId="164" fontId="1" fillId="2" borderId="7" xfId="0" applyNumberFormat="1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4" fillId="2" borderId="7" xfId="0" applyFont="1" applyFill="1" applyBorder="1"/>
    <xf numFmtId="0" fontId="1" fillId="2" borderId="41" xfId="0" applyFont="1" applyFill="1" applyBorder="1" applyAlignment="1">
      <alignment horizontal="left"/>
    </xf>
    <xf numFmtId="0" fontId="1" fillId="2" borderId="41" xfId="0" applyFont="1" applyFill="1" applyBorder="1"/>
    <xf numFmtId="0" fontId="1" fillId="2" borderId="42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43" xfId="0" applyFont="1" applyFill="1" applyBorder="1"/>
    <xf numFmtId="164" fontId="1" fillId="2" borderId="21" xfId="0" applyNumberFormat="1" applyFont="1" applyFill="1" applyBorder="1" applyAlignment="1">
      <alignment horizontal="left"/>
    </xf>
    <xf numFmtId="0" fontId="1" fillId="2" borderId="44" xfId="0" applyFont="1" applyFill="1" applyBorder="1"/>
    <xf numFmtId="0" fontId="1" fillId="2" borderId="45" xfId="0" applyFont="1" applyFill="1" applyBorder="1"/>
    <xf numFmtId="164" fontId="1" fillId="2" borderId="30" xfId="0" applyNumberFormat="1" applyFont="1" applyFill="1" applyBorder="1" applyAlignment="1">
      <alignment horizontal="left"/>
    </xf>
    <xf numFmtId="0" fontId="1" fillId="2" borderId="32" xfId="0" applyFont="1" applyFill="1" applyBorder="1"/>
    <xf numFmtId="0" fontId="1" fillId="2" borderId="14" xfId="0" quotePrefix="1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165" fontId="1" fillId="2" borderId="9" xfId="0" applyNumberFormat="1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2" borderId="11" xfId="0" quotePrefix="1" applyFont="1" applyFill="1" applyBorder="1"/>
    <xf numFmtId="166" fontId="1" fillId="2" borderId="9" xfId="0" applyNumberFormat="1" applyFont="1" applyFill="1" applyBorder="1" applyAlignment="1">
      <alignment horizontal="left"/>
    </xf>
    <xf numFmtId="0" fontId="1" fillId="2" borderId="46" xfId="0" applyFont="1" applyFill="1" applyBorder="1"/>
    <xf numFmtId="0" fontId="1" fillId="2" borderId="47" xfId="0" applyFont="1" applyFill="1" applyBorder="1"/>
    <xf numFmtId="3" fontId="1" fillId="2" borderId="47" xfId="0" applyNumberFormat="1" applyFont="1" applyFill="1" applyBorder="1" applyAlignment="1">
      <alignment horizontal="left"/>
    </xf>
    <xf numFmtId="164" fontId="1" fillId="2" borderId="47" xfId="0" applyNumberFormat="1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165" fontId="1" fillId="2" borderId="41" xfId="0" applyNumberFormat="1" applyFont="1" applyFill="1" applyBorder="1" applyAlignment="1">
      <alignment horizontal="left"/>
    </xf>
    <xf numFmtId="0" fontId="3" fillId="3" borderId="49" xfId="0" applyFont="1" applyFill="1" applyBorder="1" applyAlignment="1">
      <alignment horizontal="left"/>
    </xf>
    <xf numFmtId="0" fontId="4" fillId="0" borderId="0" xfId="0" applyFont="1"/>
    <xf numFmtId="167" fontId="1" fillId="2" borderId="20" xfId="0" applyNumberFormat="1" applyFont="1" applyFill="1" applyBorder="1" applyAlignment="1">
      <alignment horizontal="left"/>
    </xf>
    <xf numFmtId="0" fontId="4" fillId="0" borderId="25" xfId="0" applyFont="1" applyBorder="1"/>
    <xf numFmtId="3" fontId="1" fillId="2" borderId="50" xfId="0" applyNumberFormat="1" applyFont="1" applyFill="1" applyBorder="1" applyAlignment="1">
      <alignment horizontal="left"/>
    </xf>
    <xf numFmtId="164" fontId="1" fillId="2" borderId="50" xfId="0" applyNumberFormat="1" applyFont="1" applyFill="1" applyBorder="1" applyAlignment="1">
      <alignment horizontal="left"/>
    </xf>
    <xf numFmtId="0" fontId="1" fillId="2" borderId="50" xfId="0" applyFont="1" applyFill="1" applyBorder="1"/>
    <xf numFmtId="0" fontId="1" fillId="2" borderId="52" xfId="0" applyFont="1" applyFill="1" applyBorder="1"/>
    <xf numFmtId="0" fontId="1" fillId="0" borderId="7" xfId="0" applyFont="1" applyBorder="1"/>
    <xf numFmtId="0" fontId="1" fillId="2" borderId="52" xfId="0" quotePrefix="1" applyFont="1" applyFill="1" applyBorder="1"/>
    <xf numFmtId="3" fontId="1" fillId="2" borderId="23" xfId="0" applyNumberFormat="1" applyFont="1" applyFill="1" applyBorder="1" applyAlignment="1">
      <alignment horizontal="left"/>
    </xf>
    <xf numFmtId="164" fontId="1" fillId="2" borderId="23" xfId="0" applyNumberFormat="1" applyFont="1" applyFill="1" applyBorder="1" applyAlignment="1">
      <alignment horizontal="left"/>
    </xf>
    <xf numFmtId="0" fontId="1" fillId="2" borderId="24" xfId="0" applyFont="1" applyFill="1" applyBorder="1"/>
    <xf numFmtId="0" fontId="4" fillId="0" borderId="53" xfId="0" applyFont="1" applyBorder="1"/>
    <xf numFmtId="0" fontId="1" fillId="2" borderId="54" xfId="0" applyFont="1" applyFill="1" applyBorder="1"/>
    <xf numFmtId="3" fontId="1" fillId="2" borderId="54" xfId="0" applyNumberFormat="1" applyFont="1" applyFill="1" applyBorder="1" applyAlignment="1">
      <alignment horizontal="left"/>
    </xf>
    <xf numFmtId="0" fontId="1" fillId="5" borderId="54" xfId="0" applyFont="1" applyFill="1" applyBorder="1" applyAlignment="1">
      <alignment horizontal="center"/>
    </xf>
    <xf numFmtId="167" fontId="1" fillId="2" borderId="54" xfId="0" applyNumberFormat="1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9" fillId="6" borderId="56" xfId="0" applyFont="1" applyFill="1" applyBorder="1" applyAlignment="1">
      <alignment horizontal="left"/>
    </xf>
    <xf numFmtId="0" fontId="9" fillId="6" borderId="56" xfId="0" applyFont="1" applyFill="1" applyBorder="1"/>
    <xf numFmtId="0" fontId="9" fillId="6" borderId="56" xfId="0" applyFont="1" applyFill="1" applyBorder="1" applyAlignment="1">
      <alignment horizontal="center" vertical="top"/>
    </xf>
    <xf numFmtId="0" fontId="9" fillId="6" borderId="56" xfId="0" applyFont="1" applyFill="1" applyBorder="1" applyAlignment="1">
      <alignment horizontal="center"/>
    </xf>
    <xf numFmtId="0" fontId="7" fillId="0" borderId="25" xfId="0" applyFont="1" applyBorder="1"/>
    <xf numFmtId="0" fontId="7" fillId="2" borderId="55" xfId="0" applyFont="1" applyFill="1" applyBorder="1"/>
    <xf numFmtId="1" fontId="7" fillId="0" borderId="25" xfId="0" applyNumberFormat="1" applyFont="1" applyBorder="1" applyAlignment="1">
      <alignment horizontal="center" vertical="top"/>
    </xf>
    <xf numFmtId="3" fontId="7" fillId="2" borderId="14" xfId="0" applyNumberFormat="1" applyFont="1" applyFill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16" xfId="0" applyFont="1" applyBorder="1"/>
    <xf numFmtId="0" fontId="7" fillId="0" borderId="16" xfId="0" applyFont="1" applyBorder="1" applyAlignment="1">
      <alignment horizontal="left"/>
    </xf>
    <xf numFmtId="17" fontId="7" fillId="0" borderId="16" xfId="0" applyNumberFormat="1" applyFont="1" applyBorder="1" applyAlignment="1">
      <alignment horizontal="left"/>
    </xf>
    <xf numFmtId="1" fontId="10" fillId="0" borderId="14" xfId="0" applyNumberFormat="1" applyFont="1" applyBorder="1" applyAlignment="1">
      <alignment horizontal="left"/>
    </xf>
    <xf numFmtId="0" fontId="7" fillId="0" borderId="14" xfId="0" applyFont="1" applyBorder="1"/>
    <xf numFmtId="0" fontId="7" fillId="2" borderId="14" xfId="0" applyFont="1" applyFill="1" applyBorder="1"/>
    <xf numFmtId="0" fontId="7" fillId="0" borderId="14" xfId="0" applyFont="1" applyBorder="1" applyAlignment="1">
      <alignment horizontal="left"/>
    </xf>
    <xf numFmtId="0" fontId="7" fillId="2" borderId="16" xfId="0" applyFont="1" applyFill="1" applyBorder="1"/>
    <xf numFmtId="1" fontId="7" fillId="0" borderId="14" xfId="0" applyNumberFormat="1" applyFont="1" applyBorder="1" applyAlignment="1">
      <alignment horizontal="center" vertical="top"/>
    </xf>
    <xf numFmtId="1" fontId="10" fillId="0" borderId="16" xfId="0" applyNumberFormat="1" applyFont="1" applyBorder="1" applyAlignment="1">
      <alignment horizontal="left"/>
    </xf>
    <xf numFmtId="169" fontId="7" fillId="0" borderId="14" xfId="1" applyNumberFormat="1" applyFont="1" applyBorder="1" applyAlignment="1">
      <alignment horizontal="center" vertical="top"/>
    </xf>
    <xf numFmtId="0" fontId="6" fillId="0" borderId="14" xfId="0" applyFont="1" applyBorder="1"/>
    <xf numFmtId="0" fontId="6" fillId="0" borderId="14" xfId="0" quotePrefix="1" applyFont="1" applyBorder="1"/>
    <xf numFmtId="17" fontId="7" fillId="0" borderId="14" xfId="0" applyNumberFormat="1" applyFont="1" applyBorder="1" applyAlignment="1">
      <alignment horizontal="left"/>
    </xf>
    <xf numFmtId="0" fontId="6" fillId="0" borderId="28" xfId="0" applyFont="1" applyBorder="1"/>
    <xf numFmtId="0" fontId="7" fillId="0" borderId="28" xfId="0" applyFont="1" applyBorder="1"/>
    <xf numFmtId="169" fontId="7" fillId="0" borderId="28" xfId="1" applyNumberFormat="1" applyFont="1" applyBorder="1" applyAlignment="1">
      <alignment horizontal="center" vertical="top"/>
    </xf>
    <xf numFmtId="3" fontId="7" fillId="2" borderId="28" xfId="0" applyNumberFormat="1" applyFont="1" applyFill="1" applyBorder="1" applyAlignment="1">
      <alignment horizontal="left"/>
    </xf>
    <xf numFmtId="0" fontId="7" fillId="0" borderId="28" xfId="0" applyFont="1" applyBorder="1" applyAlignment="1">
      <alignment horizontal="left"/>
    </xf>
    <xf numFmtId="17" fontId="7" fillId="0" borderId="28" xfId="0" applyNumberFormat="1" applyFont="1" applyBorder="1" applyAlignment="1">
      <alignment horizontal="left"/>
    </xf>
    <xf numFmtId="1" fontId="10" fillId="0" borderId="28" xfId="0" applyNumberFormat="1" applyFont="1" applyBorder="1" applyAlignment="1">
      <alignment horizontal="left"/>
    </xf>
    <xf numFmtId="0" fontId="7" fillId="0" borderId="51" xfId="0" applyFont="1" applyBorder="1"/>
    <xf numFmtId="0" fontId="7" fillId="2" borderId="51" xfId="0" applyFont="1" applyFill="1" applyBorder="1"/>
    <xf numFmtId="1" fontId="7" fillId="0" borderId="51" xfId="0" applyNumberFormat="1" applyFont="1" applyBorder="1" applyAlignment="1">
      <alignment horizontal="center" vertical="top"/>
    </xf>
    <xf numFmtId="3" fontId="7" fillId="2" borderId="51" xfId="0" applyNumberFormat="1" applyFont="1" applyFill="1" applyBorder="1" applyAlignment="1">
      <alignment horizontal="left"/>
    </xf>
    <xf numFmtId="0" fontId="7" fillId="0" borderId="51" xfId="0" applyFont="1" applyBorder="1" applyAlignment="1">
      <alignment horizontal="left"/>
    </xf>
    <xf numFmtId="1" fontId="10" fillId="0" borderId="51" xfId="0" applyNumberFormat="1" applyFont="1" applyBorder="1" applyAlignment="1">
      <alignment horizontal="left"/>
    </xf>
    <xf numFmtId="0" fontId="7" fillId="2" borderId="27" xfId="0" applyFont="1" applyFill="1" applyBorder="1"/>
    <xf numFmtId="0" fontId="7" fillId="0" borderId="14" xfId="0" quotePrefix="1" applyFont="1" applyBorder="1"/>
    <xf numFmtId="167" fontId="7" fillId="0" borderId="14" xfId="0" applyNumberFormat="1" applyFont="1" applyBorder="1" applyAlignment="1">
      <alignment horizontal="left"/>
    </xf>
    <xf numFmtId="0" fontId="7" fillId="2" borderId="12" xfId="0" applyFont="1" applyFill="1" applyBorder="1"/>
    <xf numFmtId="0" fontId="7" fillId="0" borderId="53" xfId="0" applyFont="1" applyBorder="1"/>
    <xf numFmtId="0" fontId="7" fillId="2" borderId="53" xfId="0" applyFont="1" applyFill="1" applyBorder="1"/>
    <xf numFmtId="1" fontId="7" fillId="0" borderId="53" xfId="0" applyNumberFormat="1" applyFont="1" applyBorder="1" applyAlignment="1">
      <alignment horizontal="center" vertical="top"/>
    </xf>
    <xf numFmtId="3" fontId="7" fillId="2" borderId="53" xfId="0" applyNumberFormat="1" applyFont="1" applyFill="1" applyBorder="1" applyAlignment="1">
      <alignment horizontal="left"/>
    </xf>
    <xf numFmtId="0" fontId="7" fillId="0" borderId="53" xfId="0" applyFont="1" applyBorder="1" applyAlignment="1">
      <alignment horizontal="left"/>
    </xf>
    <xf numFmtId="1" fontId="10" fillId="0" borderId="53" xfId="0" applyNumberFormat="1" applyFont="1" applyBorder="1" applyAlignment="1">
      <alignment horizontal="left"/>
    </xf>
    <xf numFmtId="3" fontId="7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2">
    <cellStyle name="Millares 3" xfId="1" xr:uid="{CE4BFEAB-BABF-4022-A25A-8B822162EAF0}"/>
    <cellStyle name="Normal" xfId="0" builtinId="0"/>
  </cellStyles>
  <dxfs count="2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225</xdr:row>
      <xdr:rowOff>0</xdr:rowOff>
    </xdr:from>
    <xdr:to>
      <xdr:col>7</xdr:col>
      <xdr:colOff>304800</xdr:colOff>
      <xdr:row>227</xdr:row>
      <xdr:rowOff>864</xdr:rowOff>
    </xdr:to>
    <xdr:sp macro="" textlink="">
      <xdr:nvSpPr>
        <xdr:cNvPr id="2" name="AutoShape 1" descr="Laboratorios Quiver">
          <a:extLst>
            <a:ext uri="{FF2B5EF4-FFF2-40B4-BE49-F238E27FC236}">
              <a16:creationId xmlns:a16="http://schemas.microsoft.com/office/drawing/2014/main" id="{A2F0AEFE-D080-4C19-8D28-B9F1FE544110}"/>
            </a:ext>
          </a:extLst>
        </xdr:cNvPr>
        <xdr:cNvSpPr>
          <a:spLocks noChangeAspect="1" noChangeArrowheads="1"/>
        </xdr:cNvSpPr>
      </xdr:nvSpPr>
      <xdr:spPr bwMode="auto">
        <a:xfrm>
          <a:off x="16182975" y="18640425"/>
          <a:ext cx="304800" cy="305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1438670</xdr:colOff>
      <xdr:row>0</xdr:row>
      <xdr:rowOff>0</xdr:rowOff>
    </xdr:from>
    <xdr:to>
      <xdr:col>2</xdr:col>
      <xdr:colOff>1023369</xdr:colOff>
      <xdr:row>3</xdr:row>
      <xdr:rowOff>105172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4CB2D5-3CD1-4CC8-BCF9-CFA496236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0145" y="0"/>
          <a:ext cx="1184899" cy="581422"/>
        </a:xfrm>
        <a:prstGeom prst="rect">
          <a:avLst/>
        </a:prstGeom>
      </xdr:spPr>
    </xdr:pic>
    <xdr:clientData/>
  </xdr:twoCellAnchor>
  <xdr:twoCellAnchor editAs="oneCell">
    <xdr:from>
      <xdr:col>6</xdr:col>
      <xdr:colOff>171225</xdr:colOff>
      <xdr:row>0</xdr:row>
      <xdr:rowOff>0</xdr:rowOff>
    </xdr:from>
    <xdr:to>
      <xdr:col>6</xdr:col>
      <xdr:colOff>1331130</xdr:colOff>
      <xdr:row>3</xdr:row>
      <xdr:rowOff>99615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237D01-4DC4-4653-A5E3-FFF0B5DF0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4975" y="0"/>
          <a:ext cx="1159905" cy="528240"/>
        </a:xfrm>
        <a:prstGeom prst="rect">
          <a:avLst/>
        </a:prstGeom>
      </xdr:spPr>
    </xdr:pic>
    <xdr:clientData/>
  </xdr:twoCellAnchor>
  <xdr:twoCellAnchor editAs="oneCell">
    <xdr:from>
      <xdr:col>2</xdr:col>
      <xdr:colOff>990315</xdr:colOff>
      <xdr:row>0</xdr:row>
      <xdr:rowOff>0</xdr:rowOff>
    </xdr:from>
    <xdr:to>
      <xdr:col>2</xdr:col>
      <xdr:colOff>2642915</xdr:colOff>
      <xdr:row>3</xdr:row>
      <xdr:rowOff>95250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2C8C396-A352-466D-AFFA-A9CB20611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1990" y="0"/>
          <a:ext cx="1652600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0</xdr:rowOff>
    </xdr:from>
    <xdr:to>
      <xdr:col>1</xdr:col>
      <xdr:colOff>1488283</xdr:colOff>
      <xdr:row>3</xdr:row>
      <xdr:rowOff>134937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D63993-38C6-4AED-99DB-158CB6AC1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" y="0"/>
          <a:ext cx="1859756" cy="611187"/>
        </a:xfrm>
        <a:prstGeom prst="rect">
          <a:avLst/>
        </a:prstGeom>
      </xdr:spPr>
    </xdr:pic>
    <xdr:clientData/>
  </xdr:twoCellAnchor>
  <xdr:twoCellAnchor editAs="oneCell">
    <xdr:from>
      <xdr:col>4</xdr:col>
      <xdr:colOff>131764</xdr:colOff>
      <xdr:row>0</xdr:row>
      <xdr:rowOff>0</xdr:rowOff>
    </xdr:from>
    <xdr:to>
      <xdr:col>6</xdr:col>
      <xdr:colOff>201214</xdr:colOff>
      <xdr:row>3</xdr:row>
      <xdr:rowOff>123825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2717930-99C4-4DF6-BCB9-5C59065A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51539" y="0"/>
          <a:ext cx="1393425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2054622</xdr:colOff>
      <xdr:row>0</xdr:row>
      <xdr:rowOff>0</xdr:rowOff>
    </xdr:from>
    <xdr:to>
      <xdr:col>7</xdr:col>
      <xdr:colOff>16670</xdr:colOff>
      <xdr:row>4</xdr:row>
      <xdr:rowOff>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97CBA8E-8FD9-48C5-AE6B-318C8BE18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98372" y="0"/>
          <a:ext cx="1143398" cy="581025"/>
        </a:xfrm>
        <a:prstGeom prst="rect">
          <a:avLst/>
        </a:prstGeom>
      </xdr:spPr>
    </xdr:pic>
    <xdr:clientData/>
  </xdr:twoCellAnchor>
  <xdr:twoCellAnchor editAs="oneCell">
    <xdr:from>
      <xdr:col>2</xdr:col>
      <xdr:colOff>2588420</xdr:colOff>
      <xdr:row>0</xdr:row>
      <xdr:rowOff>1</xdr:rowOff>
    </xdr:from>
    <xdr:to>
      <xdr:col>4</xdr:col>
      <xdr:colOff>246858</xdr:colOff>
      <xdr:row>3</xdr:row>
      <xdr:rowOff>123826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5F8FD14-8336-4F85-998A-91551F943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60095" y="1"/>
          <a:ext cx="1506538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1333503</xdr:colOff>
      <xdr:row>0</xdr:row>
      <xdr:rowOff>0</xdr:rowOff>
    </xdr:from>
    <xdr:to>
      <xdr:col>6</xdr:col>
      <xdr:colOff>2089627</xdr:colOff>
      <xdr:row>4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9FE2FDB-8F2E-45EE-BD1D-125A23EE5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77253" y="0"/>
          <a:ext cx="756124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255134</xdr:colOff>
      <xdr:row>0</xdr:row>
      <xdr:rowOff>0</xdr:rowOff>
    </xdr:from>
    <xdr:to>
      <xdr:col>2</xdr:col>
      <xdr:colOff>586808</xdr:colOff>
      <xdr:row>2</xdr:row>
      <xdr:rowOff>77866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42E057-B154-4777-9618-1E2964E9F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134" y="0"/>
          <a:ext cx="1388949" cy="401716"/>
        </a:xfrm>
        <a:prstGeom prst="rect">
          <a:avLst/>
        </a:prstGeom>
      </xdr:spPr>
    </xdr:pic>
    <xdr:clientData/>
  </xdr:twoCellAnchor>
  <xdr:twoCellAnchor editAs="oneCell">
    <xdr:from>
      <xdr:col>2</xdr:col>
      <xdr:colOff>603819</xdr:colOff>
      <xdr:row>0</xdr:row>
      <xdr:rowOff>0</xdr:rowOff>
    </xdr:from>
    <xdr:to>
      <xdr:col>2</xdr:col>
      <xdr:colOff>1461339</xdr:colOff>
      <xdr:row>2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8776B-0EEA-42A6-AD66-9503401BB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1094" y="0"/>
          <a:ext cx="857520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1445760</xdr:colOff>
      <xdr:row>0</xdr:row>
      <xdr:rowOff>0</xdr:rowOff>
    </xdr:from>
    <xdr:to>
      <xdr:col>2</xdr:col>
      <xdr:colOff>1913504</xdr:colOff>
      <xdr:row>2</xdr:row>
      <xdr:rowOff>78338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A8A7D3-074C-4BEA-88AD-766238549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3035" y="0"/>
          <a:ext cx="467744" cy="4021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ertilisa/Resumen%20Fertilis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ertilisa/Fosfobac%20x%20Galon%20-%20Micorrizol%20x%208%20K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Jiffy/Resumen%20Jiffy%20Manve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tilisa"/>
      <sheetName val="Preliminar"/>
      <sheetName val="Lenta Rotacion"/>
      <sheetName val="Vencidos"/>
      <sheetName val="Variados"/>
      <sheetName val="Sist."/>
      <sheetName val="Pend. Entrega"/>
      <sheetName val="Emp. Gdes"/>
      <sheetName val="Emp. P."/>
      <sheetName val="Tarimas"/>
      <sheetName val="Bolsones"/>
    </sheetNames>
    <sheetDataSet>
      <sheetData sheetId="0"/>
      <sheetData sheetId="1">
        <row r="2">
          <cell r="A2" t="str">
            <v>'ABP-22</v>
          </cell>
          <cell r="B2" t="str">
            <v>ABP - Fosfobacs Galon</v>
          </cell>
          <cell r="C2">
            <v>3</v>
          </cell>
          <cell r="D2">
            <v>3</v>
          </cell>
          <cell r="E2">
            <v>0</v>
          </cell>
        </row>
        <row r="3">
          <cell r="A3" t="str">
            <v>'ABP-55</v>
          </cell>
          <cell r="B3" t="str">
            <v>ABP - Insecbiol 10 Wp (Drone) x 1Kg</v>
          </cell>
          <cell r="C3">
            <v>14</v>
          </cell>
          <cell r="D3">
            <v>14</v>
          </cell>
          <cell r="E3">
            <v>0</v>
          </cell>
        </row>
        <row r="4">
          <cell r="A4" t="str">
            <v>'ABP-63</v>
          </cell>
          <cell r="B4" t="str">
            <v>ABP - Lilacil 10 WP Drone x 1 Kg</v>
          </cell>
          <cell r="C4">
            <v>4</v>
          </cell>
          <cell r="D4">
            <v>4</v>
          </cell>
          <cell r="E4">
            <v>0</v>
          </cell>
        </row>
        <row r="5">
          <cell r="A5" t="str">
            <v>'ABP-47</v>
          </cell>
          <cell r="B5" t="str">
            <v>ABP - Lilacil x 1Kg</v>
          </cell>
          <cell r="C5">
            <v>1</v>
          </cell>
          <cell r="D5">
            <v>1</v>
          </cell>
          <cell r="E5">
            <v>0</v>
          </cell>
        </row>
        <row r="6">
          <cell r="A6" t="str">
            <v>'ABP-44</v>
          </cell>
          <cell r="B6" t="str">
            <v>ABP - Metaril x 1 Kg</v>
          </cell>
          <cell r="C6">
            <v>4</v>
          </cell>
          <cell r="D6">
            <v>4</v>
          </cell>
          <cell r="E6">
            <v>0</v>
          </cell>
        </row>
        <row r="7">
          <cell r="A7" t="str">
            <v>'MQU631</v>
          </cell>
          <cell r="B7" t="str">
            <v>Acido Fosforico (Carboya)</v>
          </cell>
          <cell r="C7">
            <v>1</v>
          </cell>
          <cell r="D7">
            <v>1</v>
          </cell>
          <cell r="E7">
            <v>0</v>
          </cell>
        </row>
        <row r="8">
          <cell r="A8" t="str">
            <v>'MQU631-1</v>
          </cell>
          <cell r="B8" t="str">
            <v>Acido Fosforico (Galon)</v>
          </cell>
          <cell r="C8">
            <v>7</v>
          </cell>
          <cell r="D8">
            <v>7</v>
          </cell>
          <cell r="E8">
            <v>0</v>
          </cell>
        </row>
        <row r="9">
          <cell r="A9" t="str">
            <v>'4000100595</v>
          </cell>
          <cell r="B9" t="str">
            <v>Bio - Pacel 10WP x 1 Kg</v>
          </cell>
          <cell r="C9">
            <v>79</v>
          </cell>
          <cell r="D9">
            <v>79</v>
          </cell>
          <cell r="E9">
            <v>0</v>
          </cell>
        </row>
        <row r="10">
          <cell r="A10" t="str">
            <v>'4000100605</v>
          </cell>
          <cell r="B10" t="str">
            <v>Bio - Pacel 10WP x 250 G</v>
          </cell>
          <cell r="C10">
            <v>38</v>
          </cell>
          <cell r="D10">
            <v>38</v>
          </cell>
          <cell r="E10">
            <v>0</v>
          </cell>
        </row>
        <row r="11">
          <cell r="A11" t="str">
            <v>'4000100593</v>
          </cell>
          <cell r="B11" t="str">
            <v>Bio - Strepto 2 WP x 1 Kg</v>
          </cell>
          <cell r="C11">
            <v>20</v>
          </cell>
          <cell r="D11">
            <v>20</v>
          </cell>
          <cell r="E11">
            <v>0</v>
          </cell>
        </row>
        <row r="12">
          <cell r="A12" t="str">
            <v>'4000100617</v>
          </cell>
          <cell r="B12" t="str">
            <v>Bio - Strepto 2 WP x 500 g</v>
          </cell>
          <cell r="C12">
            <v>2</v>
          </cell>
          <cell r="D12">
            <v>2</v>
          </cell>
          <cell r="E12">
            <v>0</v>
          </cell>
        </row>
        <row r="13">
          <cell r="A13" t="str">
            <v>'4000100602</v>
          </cell>
          <cell r="B13" t="str">
            <v>Bio-Tri Max 3 WP x 250 G</v>
          </cell>
          <cell r="C13">
            <v>21</v>
          </cell>
          <cell r="D13">
            <v>21</v>
          </cell>
          <cell r="E13">
            <v>0</v>
          </cell>
        </row>
        <row r="14">
          <cell r="A14" t="str">
            <v>'4000100693</v>
          </cell>
          <cell r="B14" t="str">
            <v xml:space="preserve">MF 22.5-4.6-17.5-4.5(MG)-5.5(S) CON NX 45KG </v>
          </cell>
          <cell r="C14">
            <v>416</v>
          </cell>
          <cell r="D14">
            <v>416</v>
          </cell>
          <cell r="E14">
            <v>0</v>
          </cell>
        </row>
        <row r="15">
          <cell r="A15" t="str">
            <v>'4000100480</v>
          </cell>
          <cell r="B15" t="str">
            <v>Brandt Enzup PDS 10 Kg</v>
          </cell>
          <cell r="C15">
            <v>76</v>
          </cell>
          <cell r="D15">
            <v>76</v>
          </cell>
          <cell r="E15">
            <v>0</v>
          </cell>
        </row>
        <row r="16">
          <cell r="A16" t="str">
            <v>'4000100445</v>
          </cell>
          <cell r="B16" t="str">
            <v>Brandt Enzup Zn 1 L</v>
          </cell>
          <cell r="C16">
            <v>353</v>
          </cell>
          <cell r="D16">
            <v>353</v>
          </cell>
          <cell r="E16">
            <v>0</v>
          </cell>
        </row>
        <row r="17">
          <cell r="A17" t="str">
            <v>'4000100416</v>
          </cell>
          <cell r="B17" t="str">
            <v>Brandt Manni Plex B-Moly 1 L</v>
          </cell>
          <cell r="C17">
            <v>63</v>
          </cell>
          <cell r="D17">
            <v>63</v>
          </cell>
          <cell r="E17">
            <v>0</v>
          </cell>
        </row>
        <row r="18">
          <cell r="A18" t="str">
            <v>'4000100417</v>
          </cell>
          <cell r="B18" t="str">
            <v>Brandt Manni Plex B-Moly 10 Lts</v>
          </cell>
          <cell r="C18">
            <v>182</v>
          </cell>
          <cell r="D18">
            <v>182</v>
          </cell>
          <cell r="E18">
            <v>0</v>
          </cell>
        </row>
        <row r="19">
          <cell r="A19" t="str">
            <v>'4000100412</v>
          </cell>
          <cell r="B19" t="str">
            <v>Brandt Manni Plex Ca 1 L</v>
          </cell>
          <cell r="C19">
            <v>522</v>
          </cell>
          <cell r="D19">
            <v>522</v>
          </cell>
          <cell r="E19">
            <v>0</v>
          </cell>
        </row>
        <row r="20">
          <cell r="A20" t="str">
            <v>'4000100413</v>
          </cell>
          <cell r="B20" t="str">
            <v>Brandt Manni Plex Ca 10 Lts</v>
          </cell>
          <cell r="C20">
            <v>211</v>
          </cell>
          <cell r="D20">
            <v>211</v>
          </cell>
          <cell r="E20">
            <v>0</v>
          </cell>
        </row>
        <row r="21">
          <cell r="A21" t="str">
            <v>'4000100447</v>
          </cell>
          <cell r="B21" t="str">
            <v>Brandt Manni Plex Cal - B 1 L</v>
          </cell>
          <cell r="C21">
            <v>357</v>
          </cell>
          <cell r="D21">
            <v>357</v>
          </cell>
          <cell r="E21">
            <v>0</v>
          </cell>
        </row>
        <row r="22">
          <cell r="A22" t="str">
            <v>'4000100516</v>
          </cell>
          <cell r="B22" t="str">
            <v>Brandt Manni Plex Cal - B 10 L</v>
          </cell>
          <cell r="C22">
            <v>179</v>
          </cell>
          <cell r="D22">
            <v>179</v>
          </cell>
          <cell r="E22">
            <v>0</v>
          </cell>
        </row>
        <row r="23">
          <cell r="A23" t="str">
            <v>'4000100450</v>
          </cell>
          <cell r="B23" t="str">
            <v>Brandt Manni Plex Cal - Mag 1 L</v>
          </cell>
          <cell r="C23">
            <v>1107</v>
          </cell>
          <cell r="D23">
            <v>1107</v>
          </cell>
          <cell r="E23">
            <v>0</v>
          </cell>
        </row>
        <row r="24">
          <cell r="A24" t="str">
            <v>'4000100517</v>
          </cell>
          <cell r="B24" t="str">
            <v>Brandt Manni Plex Cal - Mag 10 L</v>
          </cell>
          <cell r="C24">
            <v>153</v>
          </cell>
          <cell r="D24">
            <v>153</v>
          </cell>
          <cell r="E24">
            <v>0</v>
          </cell>
        </row>
        <row r="25">
          <cell r="A25" t="str">
            <v>'4000100446</v>
          </cell>
          <cell r="B25" t="str">
            <v>Brandt Manni Plex Cal - Zn 1 L</v>
          </cell>
          <cell r="C25">
            <v>225</v>
          </cell>
          <cell r="D25">
            <v>225</v>
          </cell>
          <cell r="E25">
            <v>0</v>
          </cell>
        </row>
        <row r="26">
          <cell r="A26" t="str">
            <v>'4000100515</v>
          </cell>
          <cell r="B26" t="str">
            <v>Brandt Manni Plex Cal - Zn 10 L</v>
          </cell>
          <cell r="C26">
            <v>160</v>
          </cell>
          <cell r="D26">
            <v>160</v>
          </cell>
          <cell r="E26">
            <v>0</v>
          </cell>
        </row>
        <row r="27">
          <cell r="A27" t="str">
            <v>'4000100414</v>
          </cell>
          <cell r="B27" t="str">
            <v>Brandt Manni Plex K 1 L</v>
          </cell>
          <cell r="C27">
            <v>147</v>
          </cell>
          <cell r="D27">
            <v>147</v>
          </cell>
          <cell r="E27">
            <v>0</v>
          </cell>
        </row>
        <row r="28">
          <cell r="A28" t="str">
            <v>'4000100415</v>
          </cell>
          <cell r="B28" t="str">
            <v>Brandt Manni Plex K 10 L</v>
          </cell>
          <cell r="C28">
            <v>198</v>
          </cell>
          <cell r="D28">
            <v>198</v>
          </cell>
          <cell r="E28">
            <v>0</v>
          </cell>
        </row>
        <row r="29">
          <cell r="A29" t="str">
            <v>'4000100320</v>
          </cell>
          <cell r="B29" t="str">
            <v>Brandt Manni Plex Mg 1 L</v>
          </cell>
          <cell r="C29">
            <v>10</v>
          </cell>
          <cell r="D29">
            <v>10</v>
          </cell>
          <cell r="E29">
            <v>0</v>
          </cell>
        </row>
        <row r="30">
          <cell r="A30" t="str">
            <v>'4000100449</v>
          </cell>
          <cell r="B30" t="str">
            <v>Brandt Manni Plex Mn 1 L</v>
          </cell>
          <cell r="C30">
            <v>1055</v>
          </cell>
          <cell r="D30">
            <v>1055</v>
          </cell>
          <cell r="E30">
            <v>0</v>
          </cell>
        </row>
        <row r="31">
          <cell r="A31" t="str">
            <v>'4000100477</v>
          </cell>
          <cell r="B31" t="str">
            <v>Brandt Manni Plex Multimineral 1 L</v>
          </cell>
          <cell r="C31">
            <v>16</v>
          </cell>
          <cell r="D31">
            <v>16</v>
          </cell>
          <cell r="E31">
            <v>0</v>
          </cell>
        </row>
        <row r="32">
          <cell r="A32" t="str">
            <v>'4000100411</v>
          </cell>
          <cell r="B32" t="str">
            <v>Brandt Manni Plex Multimineral 10 Lts</v>
          </cell>
          <cell r="C32">
            <v>313</v>
          </cell>
          <cell r="D32">
            <v>313</v>
          </cell>
          <cell r="E32">
            <v>0</v>
          </cell>
        </row>
        <row r="33">
          <cell r="A33" t="str">
            <v>'4000100322</v>
          </cell>
          <cell r="B33" t="str">
            <v>Brandt Manni Plex N- Boron 1 L</v>
          </cell>
          <cell r="C33">
            <v>460</v>
          </cell>
          <cell r="D33">
            <v>460</v>
          </cell>
          <cell r="E33">
            <v>0</v>
          </cell>
        </row>
        <row r="34">
          <cell r="A34" t="str">
            <v>'4000100333</v>
          </cell>
          <cell r="B34" t="str">
            <v>Brandt Manni Plex N- Boron 10 L</v>
          </cell>
          <cell r="C34">
            <v>107</v>
          </cell>
          <cell r="D34">
            <v>107</v>
          </cell>
          <cell r="E34">
            <v>0</v>
          </cell>
        </row>
        <row r="35">
          <cell r="A35" t="str">
            <v>'4000100319</v>
          </cell>
          <cell r="B35" t="str">
            <v>Brandt Manni Plex Plant Start 8-31-4 1 L</v>
          </cell>
          <cell r="C35">
            <v>967</v>
          </cell>
          <cell r="D35">
            <v>967</v>
          </cell>
          <cell r="E35">
            <v>0</v>
          </cell>
        </row>
        <row r="36">
          <cell r="A36" t="str">
            <v>'4000100330</v>
          </cell>
          <cell r="B36" t="str">
            <v>Brandt Manni Plex Plant Start 8-31-4 10 Lts</v>
          </cell>
          <cell r="C36">
            <v>431</v>
          </cell>
          <cell r="D36">
            <v>431</v>
          </cell>
          <cell r="E36">
            <v>0</v>
          </cell>
        </row>
        <row r="37">
          <cell r="A37" t="str">
            <v>'4000100448</v>
          </cell>
          <cell r="B37" t="str">
            <v>Brandt Manni Plex SI 1 L</v>
          </cell>
          <cell r="C37">
            <v>399</v>
          </cell>
          <cell r="D37">
            <v>399</v>
          </cell>
          <cell r="E37">
            <v>0</v>
          </cell>
        </row>
        <row r="38">
          <cell r="A38" t="str">
            <v>'4000100321</v>
          </cell>
          <cell r="B38" t="str">
            <v>Brandt Manni Plex Zn 1 L</v>
          </cell>
          <cell r="C38">
            <v>861</v>
          </cell>
          <cell r="D38">
            <v>861</v>
          </cell>
          <cell r="E38">
            <v>0</v>
          </cell>
        </row>
        <row r="39">
          <cell r="A39" t="str">
            <v>'4000100332</v>
          </cell>
          <cell r="B39" t="str">
            <v>Brandt Manni Plex Zn 10 Lts</v>
          </cell>
          <cell r="C39">
            <v>115</v>
          </cell>
          <cell r="D39">
            <v>115</v>
          </cell>
          <cell r="E39">
            <v>0</v>
          </cell>
        </row>
        <row r="40">
          <cell r="A40" t="str">
            <v>'4000100482</v>
          </cell>
          <cell r="B40" t="str">
            <v>Brandt Organiplex Mg 1 L</v>
          </cell>
          <cell r="C40">
            <v>460</v>
          </cell>
          <cell r="D40">
            <v>460</v>
          </cell>
          <cell r="E40">
            <v>0</v>
          </cell>
        </row>
        <row r="41">
          <cell r="A41" t="str">
            <v>'4000100483</v>
          </cell>
          <cell r="B41" t="str">
            <v>Brandt Organiplex Micro Mix 1 L</v>
          </cell>
          <cell r="C41">
            <v>427</v>
          </cell>
          <cell r="D41">
            <v>427</v>
          </cell>
          <cell r="E41">
            <v>0</v>
          </cell>
        </row>
        <row r="42">
          <cell r="A42" t="str">
            <v>'4000100484</v>
          </cell>
          <cell r="B42" t="str">
            <v>Brandt Organiplex Micro Mix 10 Lts</v>
          </cell>
          <cell r="C42">
            <v>115</v>
          </cell>
          <cell r="D42">
            <v>115</v>
          </cell>
          <cell r="E42">
            <v>0</v>
          </cell>
        </row>
        <row r="43">
          <cell r="A43" t="str">
            <v>'4000100444</v>
          </cell>
          <cell r="B43" t="str">
            <v>Brandt Smart K B 1 L</v>
          </cell>
          <cell r="C43">
            <v>647</v>
          </cell>
          <cell r="D43">
            <v>647</v>
          </cell>
          <cell r="E43">
            <v>0</v>
          </cell>
        </row>
        <row r="44">
          <cell r="A44" t="str">
            <v>'4000100478</v>
          </cell>
          <cell r="B44" t="str">
            <v>Brandt Smart K B 10 Lts</v>
          </cell>
          <cell r="C44">
            <v>396</v>
          </cell>
          <cell r="D44">
            <v>396</v>
          </cell>
          <cell r="E44">
            <v>0</v>
          </cell>
        </row>
        <row r="45">
          <cell r="A45" t="str">
            <v>'4000100443</v>
          </cell>
          <cell r="B45" t="str">
            <v>Brandt Smart Trio 1 L</v>
          </cell>
          <cell r="C45">
            <v>457</v>
          </cell>
          <cell r="D45">
            <v>457</v>
          </cell>
          <cell r="E45">
            <v>0</v>
          </cell>
        </row>
        <row r="46">
          <cell r="A46" t="str">
            <v>'4000100479</v>
          </cell>
          <cell r="B46" t="str">
            <v>Brandt Smart Trio 10 Lts</v>
          </cell>
          <cell r="C46">
            <v>257</v>
          </cell>
          <cell r="D46">
            <v>257</v>
          </cell>
          <cell r="E46">
            <v>0</v>
          </cell>
        </row>
        <row r="47">
          <cell r="A47" t="str">
            <v>'4000100527</v>
          </cell>
          <cell r="B47" t="str">
            <v>CANALETA HIDROPONICA BLANCA 700 ROLLO 120MX35</v>
          </cell>
          <cell r="C47">
            <v>46</v>
          </cell>
          <cell r="D47">
            <v>46</v>
          </cell>
          <cell r="E47">
            <v>0</v>
          </cell>
        </row>
        <row r="48">
          <cell r="A48" t="str">
            <v>'4000100564</v>
          </cell>
          <cell r="B48" t="str">
            <v>Dap 18-46-0 x 45 Kg</v>
          </cell>
          <cell r="C48">
            <v>20</v>
          </cell>
          <cell r="D48">
            <v>20</v>
          </cell>
          <cell r="E48">
            <v>0</v>
          </cell>
        </row>
        <row r="49">
          <cell r="A49" t="str">
            <v>'4000100372</v>
          </cell>
          <cell r="B49" t="str">
            <v>Fertilisa - NPK High Plex 1 Kg</v>
          </cell>
          <cell r="C49">
            <v>9</v>
          </cell>
          <cell r="D49">
            <v>259</v>
          </cell>
          <cell r="E49">
            <v>-250</v>
          </cell>
        </row>
        <row r="50">
          <cell r="A50" t="str">
            <v>'4000100425</v>
          </cell>
          <cell r="B50" t="str">
            <v>Fertilisa - NPK High Plex 1.50 Kg</v>
          </cell>
          <cell r="C50">
            <v>10</v>
          </cell>
          <cell r="D50">
            <v>10</v>
          </cell>
          <cell r="E50">
            <v>0</v>
          </cell>
        </row>
        <row r="51">
          <cell r="A51" t="str">
            <v>'4000100398</v>
          </cell>
          <cell r="B51" t="str">
            <v>Fertilisa - NPK High Plex 12-12-17+EM 50 Kg</v>
          </cell>
          <cell r="C51">
            <v>1103</v>
          </cell>
          <cell r="D51">
            <v>1103</v>
          </cell>
          <cell r="E51">
            <v>0</v>
          </cell>
        </row>
        <row r="52">
          <cell r="A52" t="str">
            <v>'4000100371</v>
          </cell>
          <cell r="B52" t="str">
            <v>Fertilisa - NPK High Plex 3 Kg</v>
          </cell>
          <cell r="C52">
            <v>5</v>
          </cell>
          <cell r="D52">
            <v>105</v>
          </cell>
          <cell r="E52">
            <v>-100</v>
          </cell>
        </row>
        <row r="53">
          <cell r="A53" t="str">
            <v>'4000100424</v>
          </cell>
          <cell r="B53" t="str">
            <v>Fertilisa - NPK High Plex 3.50 Kg</v>
          </cell>
          <cell r="C53">
            <v>7</v>
          </cell>
          <cell r="D53">
            <v>7</v>
          </cell>
          <cell r="E53">
            <v>0</v>
          </cell>
        </row>
        <row r="54">
          <cell r="A54" t="str">
            <v>'4000100426</v>
          </cell>
          <cell r="B54" t="str">
            <v>Fertilisa - NPK High Plex 800 Gramos</v>
          </cell>
          <cell r="C54">
            <v>4</v>
          </cell>
          <cell r="D54">
            <v>4</v>
          </cell>
          <cell r="E54">
            <v>0</v>
          </cell>
        </row>
        <row r="55">
          <cell r="A55" t="str">
            <v>'4000100374</v>
          </cell>
          <cell r="B55" t="str">
            <v>Fertilisa - NPK High Plex X 2 Kg</v>
          </cell>
          <cell r="C55">
            <v>10</v>
          </cell>
          <cell r="D55">
            <v>10</v>
          </cell>
          <cell r="E55">
            <v>0</v>
          </cell>
        </row>
        <row r="56">
          <cell r="A56" t="str">
            <v>'4000100681</v>
          </cell>
          <cell r="B56" t="str">
            <v>Fertilisa NPK 15-15-15+S x 50 Kg</v>
          </cell>
          <cell r="C56">
            <v>2946</v>
          </cell>
          <cell r="D56">
            <v>2846</v>
          </cell>
          <cell r="E56">
            <v>100</v>
          </cell>
        </row>
        <row r="57">
          <cell r="A57" t="str">
            <v>'4000100609</v>
          </cell>
          <cell r="B57" t="str">
            <v>Fertilisa W NPK 19-919 X 50 Kg</v>
          </cell>
          <cell r="C57">
            <v>1965</v>
          </cell>
          <cell r="D57">
            <v>1750</v>
          </cell>
          <cell r="E57">
            <v>215</v>
          </cell>
        </row>
        <row r="58">
          <cell r="A58" t="str">
            <v>'4000100589</v>
          </cell>
          <cell r="B58" t="str">
            <v>Granupotase 0-0-50-18 (S) x 25 Kg</v>
          </cell>
          <cell r="C58">
            <v>444</v>
          </cell>
          <cell r="D58">
            <v>444</v>
          </cell>
          <cell r="E58">
            <v>0</v>
          </cell>
        </row>
        <row r="59">
          <cell r="A59" t="str">
            <v>'4000100528</v>
          </cell>
          <cell r="B59" t="str">
            <v>GROUND COVER BLANCO ROLLO 200MX2M</v>
          </cell>
          <cell r="C59">
            <v>24</v>
          </cell>
          <cell r="D59">
            <v>24</v>
          </cell>
          <cell r="E59">
            <v>0</v>
          </cell>
        </row>
        <row r="60">
          <cell r="A60" t="str">
            <v>'4000100530</v>
          </cell>
          <cell r="B60" t="str">
            <v>GROUND COVER BLANCO X 1M</v>
          </cell>
          <cell r="C60">
            <v>250</v>
          </cell>
          <cell r="D60">
            <v>250</v>
          </cell>
          <cell r="E60">
            <v>0</v>
          </cell>
        </row>
        <row r="61">
          <cell r="A61" t="str">
            <v>'4000100491</v>
          </cell>
          <cell r="B61" t="str">
            <v>Jiffy Bandeja Coco Plastica 35 MM Un1</v>
          </cell>
          <cell r="C61">
            <v>1302</v>
          </cell>
          <cell r="D61">
            <v>1302</v>
          </cell>
          <cell r="E61">
            <v>0</v>
          </cell>
        </row>
        <row r="62">
          <cell r="A62" t="str">
            <v>'4000100493</v>
          </cell>
          <cell r="B62" t="str">
            <v>Jiffy Bolsa de Crecimiento coco mix Esse SC18L</v>
          </cell>
          <cell r="C62">
            <v>14</v>
          </cell>
          <cell r="D62">
            <v>14</v>
          </cell>
          <cell r="E62">
            <v>0</v>
          </cell>
        </row>
        <row r="63">
          <cell r="A63" t="str">
            <v>'4000100492</v>
          </cell>
          <cell r="B63" t="str">
            <v>Jiffy Maceta Biodegradable Redonda 6.2x5.7 CJ2816</v>
          </cell>
          <cell r="C63">
            <v>1</v>
          </cell>
          <cell r="D63">
            <v>1</v>
          </cell>
          <cell r="E63">
            <v>0</v>
          </cell>
        </row>
        <row r="64">
          <cell r="A64" t="str">
            <v>'4000100496</v>
          </cell>
          <cell r="B64" t="str">
            <v>Jiffy Pellet Horticola 50*150 Bio Osmo</v>
          </cell>
          <cell r="C64">
            <v>20</v>
          </cell>
          <cell r="D64">
            <v>20</v>
          </cell>
          <cell r="E64">
            <v>0</v>
          </cell>
        </row>
        <row r="65">
          <cell r="A65" t="str">
            <v>'4000100606</v>
          </cell>
          <cell r="B65" t="str">
            <v>Lyon 20 Lts</v>
          </cell>
          <cell r="C65">
            <v>13</v>
          </cell>
          <cell r="D65">
            <v>13</v>
          </cell>
          <cell r="E65">
            <v>0</v>
          </cell>
        </row>
        <row r="66">
          <cell r="A66" t="str">
            <v>'4000100650</v>
          </cell>
          <cell r="B66" t="str">
            <v>MANTA AGRICOLA (17G - 1.6M X 1000M)</v>
          </cell>
          <cell r="C66">
            <v>29</v>
          </cell>
          <cell r="D66">
            <v>29</v>
          </cell>
          <cell r="E66">
            <v>0</v>
          </cell>
        </row>
        <row r="67">
          <cell r="A67" t="str">
            <v>'4000100567</v>
          </cell>
          <cell r="B67" t="str">
            <v>Manttra - Mikrothor L x 25 Kg</v>
          </cell>
          <cell r="C67">
            <v>177</v>
          </cell>
          <cell r="D67">
            <v>177</v>
          </cell>
          <cell r="E67">
            <v>0</v>
          </cell>
        </row>
        <row r="68">
          <cell r="A68" t="str">
            <v>'12787</v>
          </cell>
          <cell r="B68" t="str">
            <v>Manvert H2O Plus - GR5 (5Kg-20x250G)</v>
          </cell>
          <cell r="C68">
            <v>8</v>
          </cell>
          <cell r="D68">
            <v>8</v>
          </cell>
          <cell r="E68">
            <v>0</v>
          </cell>
        </row>
        <row r="69">
          <cell r="A69" t="str">
            <v>'4000100678</v>
          </cell>
          <cell r="B69" t="str">
            <v>MULCH BLANCO-NEGRO (0.8MM X 48PULG X 1500M) LISO</v>
          </cell>
          <cell r="C69">
            <v>71</v>
          </cell>
          <cell r="D69">
            <v>71</v>
          </cell>
          <cell r="E69">
            <v>0</v>
          </cell>
        </row>
        <row r="70">
          <cell r="A70" t="str">
            <v>'4000100677</v>
          </cell>
          <cell r="B70" t="str">
            <v>MULCH PLATA - NEGRO (0.7MM X 48PULG X 1500M) LISO</v>
          </cell>
          <cell r="C70">
            <v>85</v>
          </cell>
          <cell r="D70">
            <v>85</v>
          </cell>
          <cell r="E70">
            <v>0</v>
          </cell>
        </row>
        <row r="71">
          <cell r="A71" t="str">
            <v>'4000100679</v>
          </cell>
          <cell r="B71" t="str">
            <v>MULCH PLATA-NEGRO (0.7MM X 52PULG X 1500M PC20)</v>
          </cell>
          <cell r="C71">
            <v>63</v>
          </cell>
          <cell r="D71">
            <v>63</v>
          </cell>
          <cell r="E71">
            <v>0</v>
          </cell>
        </row>
        <row r="72">
          <cell r="A72" t="str">
            <v>'4000100680</v>
          </cell>
          <cell r="B72" t="str">
            <v>MULCH PLATA-NEGRO 48 PLG LISO CALIBRE 0.75</v>
          </cell>
          <cell r="C72">
            <v>1</v>
          </cell>
          <cell r="D72">
            <v>1</v>
          </cell>
          <cell r="E72">
            <v>0</v>
          </cell>
        </row>
        <row r="73">
          <cell r="A73" t="str">
            <v>'4000100481</v>
          </cell>
          <cell r="B73" t="str">
            <v>Nordox 75 WG 20 Lbs</v>
          </cell>
          <cell r="C73">
            <v>60</v>
          </cell>
          <cell r="D73">
            <v>60</v>
          </cell>
          <cell r="E73">
            <v>0</v>
          </cell>
        </row>
        <row r="74">
          <cell r="A74" t="str">
            <v>'4000100498</v>
          </cell>
          <cell r="B74" t="str">
            <v>Nordox 75 WG 25 Gramos</v>
          </cell>
          <cell r="C74">
            <v>17785</v>
          </cell>
          <cell r="D74">
            <v>17785</v>
          </cell>
          <cell r="E74">
            <v>0</v>
          </cell>
        </row>
        <row r="75">
          <cell r="A75" t="str">
            <v>'4000100497</v>
          </cell>
          <cell r="B75" t="str">
            <v>Nordox 75 WG 250 Gramos</v>
          </cell>
          <cell r="C75">
            <v>1197</v>
          </cell>
          <cell r="D75">
            <v>1197</v>
          </cell>
          <cell r="E75">
            <v>0</v>
          </cell>
        </row>
        <row r="76">
          <cell r="A76" t="str">
            <v>'4000100499</v>
          </cell>
          <cell r="B76" t="str">
            <v>Nutrimon Solu NK - P 25 Kg</v>
          </cell>
          <cell r="C76">
            <v>74</v>
          </cell>
          <cell r="D76">
            <v>74</v>
          </cell>
          <cell r="E76">
            <v>0</v>
          </cell>
        </row>
        <row r="77">
          <cell r="A77" t="str">
            <v>'4000100362</v>
          </cell>
          <cell r="B77" t="str">
            <v>Opistra - Calix 25 Kg</v>
          </cell>
          <cell r="C77">
            <v>3284</v>
          </cell>
          <cell r="D77">
            <v>3274</v>
          </cell>
          <cell r="E77">
            <v>10</v>
          </cell>
        </row>
        <row r="78">
          <cell r="A78" t="str">
            <v>'4000100462</v>
          </cell>
          <cell r="B78" t="str">
            <v>Opistra - Calix Pure 25 Kg</v>
          </cell>
          <cell r="C78">
            <v>1</v>
          </cell>
          <cell r="D78">
            <v>1</v>
          </cell>
          <cell r="E78">
            <v>0</v>
          </cell>
        </row>
        <row r="79">
          <cell r="A79" t="str">
            <v>'4000100355</v>
          </cell>
          <cell r="B79" t="str">
            <v>Opistra - FertiMag  25 Kg</v>
          </cell>
          <cell r="C79">
            <v>2186</v>
          </cell>
          <cell r="D79">
            <v>2186</v>
          </cell>
          <cell r="E79">
            <v>0</v>
          </cell>
        </row>
        <row r="80">
          <cell r="A80" t="str">
            <v>'4000100360</v>
          </cell>
          <cell r="B80" t="str">
            <v>Opistra - Magnisol X 25 Kg</v>
          </cell>
          <cell r="C80">
            <v>673</v>
          </cell>
          <cell r="D80">
            <v>673</v>
          </cell>
          <cell r="E80">
            <v>0</v>
          </cell>
        </row>
        <row r="81">
          <cell r="A81" t="str">
            <v>'4000100506</v>
          </cell>
          <cell r="B81" t="str">
            <v>Opistra - Map 12-61-0 9 Kg</v>
          </cell>
          <cell r="C81">
            <v>1307</v>
          </cell>
          <cell r="D81">
            <v>1307</v>
          </cell>
          <cell r="E81">
            <v>0</v>
          </cell>
        </row>
        <row r="82">
          <cell r="A82" t="str">
            <v>'MICRO COMBO EDTA 25KG</v>
          </cell>
          <cell r="B82" t="str">
            <v>Opistra - Micro Combo Edta Tambores 25 Kg</v>
          </cell>
          <cell r="C82">
            <v>1</v>
          </cell>
          <cell r="D82">
            <v>1</v>
          </cell>
          <cell r="E82">
            <v>0</v>
          </cell>
        </row>
        <row r="83">
          <cell r="A83" t="str">
            <v>'4000100370</v>
          </cell>
          <cell r="B83" t="str">
            <v>Opistra - Micro Fe 13.50% (Edta) 25 Kg</v>
          </cell>
          <cell r="C83">
            <v>44</v>
          </cell>
          <cell r="D83">
            <v>44</v>
          </cell>
          <cell r="E83">
            <v>0</v>
          </cell>
        </row>
        <row r="84">
          <cell r="A84" t="str">
            <v>'4000100646</v>
          </cell>
          <cell r="B84" t="str">
            <v>Opistra - Micro Fe x 5 Kg</v>
          </cell>
          <cell r="C84">
            <v>180</v>
          </cell>
          <cell r="D84">
            <v>180</v>
          </cell>
          <cell r="E84">
            <v>0</v>
          </cell>
        </row>
        <row r="85">
          <cell r="A85" t="str">
            <v>'MICRO EDTA 1KG</v>
          </cell>
          <cell r="B85" t="str">
            <v>Opistra - Microcombo 1 Kg</v>
          </cell>
          <cell r="C85">
            <v>990</v>
          </cell>
          <cell r="D85">
            <v>990</v>
          </cell>
          <cell r="E85">
            <v>0</v>
          </cell>
        </row>
        <row r="86">
          <cell r="A86" t="str">
            <v>'MICRO EDTA 5KG</v>
          </cell>
          <cell r="B86" t="str">
            <v>Opistra - Microcombo 5 Kg</v>
          </cell>
          <cell r="C86">
            <v>187</v>
          </cell>
          <cell r="D86">
            <v>187</v>
          </cell>
          <cell r="E86">
            <v>0</v>
          </cell>
        </row>
        <row r="87">
          <cell r="A87" t="str">
            <v>'MICRO EDTA 25KG</v>
          </cell>
          <cell r="B87" t="str">
            <v>Opistra - Microcombo Edta 25 Kg</v>
          </cell>
          <cell r="C87">
            <v>221</v>
          </cell>
          <cell r="D87">
            <v>221</v>
          </cell>
          <cell r="E87">
            <v>0</v>
          </cell>
        </row>
        <row r="88">
          <cell r="A88" t="str">
            <v>'4000100357</v>
          </cell>
          <cell r="B88" t="str">
            <v>Opistra - MKP 0-51-34 25 Kg</v>
          </cell>
          <cell r="C88">
            <v>336</v>
          </cell>
          <cell r="D88">
            <v>336</v>
          </cell>
          <cell r="E88">
            <v>0</v>
          </cell>
        </row>
        <row r="89">
          <cell r="A89" t="str">
            <v>'4000100359</v>
          </cell>
          <cell r="B89" t="str">
            <v>Opistra - Solu Ks 25 Kg</v>
          </cell>
          <cell r="C89">
            <v>1410</v>
          </cell>
          <cell r="D89">
            <v>1410</v>
          </cell>
          <cell r="E89">
            <v>0</v>
          </cell>
        </row>
        <row r="90">
          <cell r="A90" t="str">
            <v>'4000100624</v>
          </cell>
          <cell r="B90" t="str">
            <v>PAGRORAC 25SC (QUINCLORAC)  20LT</v>
          </cell>
          <cell r="C90">
            <v>1</v>
          </cell>
          <cell r="D90">
            <v>1</v>
          </cell>
          <cell r="E90">
            <v>0</v>
          </cell>
        </row>
        <row r="91">
          <cell r="A91" t="str">
            <v>'4000100692</v>
          </cell>
          <cell r="B91" t="str">
            <v>POEMA GATOS ESTERILIZADOS - CONTROL PESO 2KG</v>
          </cell>
          <cell r="C91">
            <v>1</v>
          </cell>
          <cell r="D91">
            <v>7</v>
          </cell>
          <cell r="E91">
            <v>-6</v>
          </cell>
        </row>
        <row r="92">
          <cell r="A92" t="str">
            <v>'4000100690</v>
          </cell>
          <cell r="B92" t="str">
            <v>POEMA GATOS ESTERILIZADOS - CONTROL URINARIO 2KG</v>
          </cell>
          <cell r="C92">
            <v>1</v>
          </cell>
          <cell r="D92">
            <v>7</v>
          </cell>
          <cell r="E92">
            <v>-6</v>
          </cell>
        </row>
        <row r="93">
          <cell r="A93" t="str">
            <v>'4000100532</v>
          </cell>
          <cell r="B93" t="str">
            <v>Manttra - Azufertil AH 10 x  50 Kg</v>
          </cell>
          <cell r="C93">
            <v>1034</v>
          </cell>
          <cell r="D93">
            <v>1040</v>
          </cell>
          <cell r="E93">
            <v>-6</v>
          </cell>
        </row>
        <row r="94">
          <cell r="A94" t="str">
            <v>'4000100688</v>
          </cell>
          <cell r="B94" t="str">
            <v>POEMA PERROS PATAGÓNICO 3KG</v>
          </cell>
          <cell r="C94">
            <v>8</v>
          </cell>
          <cell r="D94">
            <v>8</v>
          </cell>
          <cell r="E94">
            <v>0</v>
          </cell>
        </row>
        <row r="95">
          <cell r="A95" t="str">
            <v>'4000100503</v>
          </cell>
          <cell r="B95" t="str">
            <v>QTS Bolsa de sustrato de turba 250 Lts</v>
          </cell>
          <cell r="C95">
            <v>1041</v>
          </cell>
          <cell r="D95">
            <v>741</v>
          </cell>
          <cell r="E95">
            <v>300</v>
          </cell>
        </row>
        <row r="96">
          <cell r="A96" t="str">
            <v>'4000100502</v>
          </cell>
          <cell r="B96" t="str">
            <v>QTS Bolsa de sustrato de turba con Perlitas 250 Lts</v>
          </cell>
          <cell r="C96">
            <v>470</v>
          </cell>
          <cell r="D96">
            <v>470</v>
          </cell>
          <cell r="E96">
            <v>0</v>
          </cell>
        </row>
        <row r="97">
          <cell r="A97" t="str">
            <v>'4000100546</v>
          </cell>
          <cell r="B97" t="str">
            <v>QUIVER CUAJE 1L</v>
          </cell>
          <cell r="C97">
            <v>4</v>
          </cell>
          <cell r="D97">
            <v>4</v>
          </cell>
          <cell r="E97">
            <v>0</v>
          </cell>
        </row>
        <row r="98">
          <cell r="A98" t="str">
            <v>'4000100552</v>
          </cell>
          <cell r="B98" t="str">
            <v>QUIVER FRESH 1L</v>
          </cell>
          <cell r="C98">
            <v>15</v>
          </cell>
          <cell r="D98">
            <v>15</v>
          </cell>
          <cell r="E98">
            <v>0</v>
          </cell>
        </row>
        <row r="99">
          <cell r="A99" t="str">
            <v>'4000100522</v>
          </cell>
          <cell r="B99" t="str">
            <v>Quiver Fructon Liq 20 x Lts</v>
          </cell>
          <cell r="C99">
            <v>16</v>
          </cell>
          <cell r="D99">
            <v>16</v>
          </cell>
          <cell r="E99">
            <v>0</v>
          </cell>
        </row>
        <row r="100">
          <cell r="A100" t="str">
            <v>'4000100555</v>
          </cell>
          <cell r="B100" t="str">
            <v>QUIVER NITRO FORT 1L</v>
          </cell>
          <cell r="C100">
            <v>157</v>
          </cell>
          <cell r="D100">
            <v>157</v>
          </cell>
          <cell r="E100">
            <v>0</v>
          </cell>
        </row>
        <row r="101">
          <cell r="A101" t="str">
            <v>'4000100543</v>
          </cell>
          <cell r="B101" t="str">
            <v>QUIVER RAIZ 1L</v>
          </cell>
          <cell r="C101">
            <v>7</v>
          </cell>
          <cell r="D101">
            <v>7</v>
          </cell>
          <cell r="E101">
            <v>0</v>
          </cell>
        </row>
        <row r="102">
          <cell r="A102" t="str">
            <v>'4000100561</v>
          </cell>
          <cell r="B102" t="str">
            <v>QUIVER SETTING 4  100G</v>
          </cell>
          <cell r="C102">
            <v>12</v>
          </cell>
          <cell r="D102">
            <v>12</v>
          </cell>
          <cell r="E102">
            <v>0</v>
          </cell>
        </row>
        <row r="103">
          <cell r="A103" t="str">
            <v>'4000100675</v>
          </cell>
          <cell r="B103" t="str">
            <v xml:space="preserve">SARAN AZUL 90% SOMBRA 3.70X100 </v>
          </cell>
          <cell r="C103">
            <v>1</v>
          </cell>
          <cell r="D103">
            <v>1</v>
          </cell>
          <cell r="E103">
            <v>0</v>
          </cell>
        </row>
        <row r="104">
          <cell r="A104" t="str">
            <v>'4000100674</v>
          </cell>
          <cell r="B104" t="str">
            <v>SARAN NEGRO 80% SOMBRA 3.70X100 (CON OJETES)</v>
          </cell>
          <cell r="C104">
            <v>1</v>
          </cell>
          <cell r="D104">
            <v>1</v>
          </cell>
          <cell r="E104">
            <v>0</v>
          </cell>
        </row>
        <row r="105">
          <cell r="A105" t="str">
            <v>'4000100673</v>
          </cell>
          <cell r="B105" t="str">
            <v xml:space="preserve">SARAN NEGRO 90% SOMBRA (3.70M X 100M) </v>
          </cell>
          <cell r="C105">
            <v>1</v>
          </cell>
          <cell r="D105">
            <v>1</v>
          </cell>
          <cell r="E105">
            <v>0</v>
          </cell>
        </row>
        <row r="106">
          <cell r="A106" t="str">
            <v>'4000100676</v>
          </cell>
          <cell r="B106" t="str">
            <v>SARAN NEGRO 90% SOMBRA 3.70X100 (CON OJETES)</v>
          </cell>
          <cell r="C106">
            <v>1</v>
          </cell>
          <cell r="D106">
            <v>1</v>
          </cell>
          <cell r="E106">
            <v>0</v>
          </cell>
        </row>
        <row r="107">
          <cell r="A107" t="str">
            <v>'4000100526</v>
          </cell>
          <cell r="B107" t="str">
            <v>SPACER NEGRO (SOPORTES PLASTICOS)</v>
          </cell>
          <cell r="C107">
            <v>1872</v>
          </cell>
          <cell r="D107">
            <v>1872</v>
          </cell>
          <cell r="E107">
            <v>0</v>
          </cell>
        </row>
        <row r="108">
          <cell r="A108" t="str">
            <v>'4000100647</v>
          </cell>
          <cell r="B108" t="str">
            <v>YaraBela Nitromag x 45 Kg</v>
          </cell>
          <cell r="C108">
            <v>176</v>
          </cell>
          <cell r="D108">
            <v>141</v>
          </cell>
          <cell r="E108">
            <v>35</v>
          </cell>
        </row>
        <row r="109">
          <cell r="A109" t="str">
            <v>'40009973</v>
          </cell>
          <cell r="B109" t="str">
            <v>YARAMILA  ABOTEK 45 KG</v>
          </cell>
          <cell r="C109">
            <v>6599</v>
          </cell>
          <cell r="D109">
            <v>6599</v>
          </cell>
          <cell r="E109">
            <v>0</v>
          </cell>
        </row>
        <row r="110">
          <cell r="A110" t="str">
            <v>'40009976</v>
          </cell>
          <cell r="B110" t="str">
            <v>YaraMila 10-20-20 x 45 Kg</v>
          </cell>
          <cell r="C110">
            <v>956</v>
          </cell>
          <cell r="D110">
            <v>956</v>
          </cell>
          <cell r="E110">
            <v>0</v>
          </cell>
        </row>
        <row r="111">
          <cell r="A111" t="str">
            <v>'4000100684</v>
          </cell>
          <cell r="B111" t="str">
            <v>YARAMILA ABOTEK (15-4-23)  50 KG</v>
          </cell>
          <cell r="C111">
            <v>680</v>
          </cell>
          <cell r="D111">
            <v>680</v>
          </cell>
          <cell r="E111">
            <v>0</v>
          </cell>
        </row>
        <row r="112">
          <cell r="A112" t="str">
            <v>'4000100648</v>
          </cell>
          <cell r="B112" t="str">
            <v>YaraMila NitroComplex x 45 Kg</v>
          </cell>
          <cell r="C112">
            <v>77</v>
          </cell>
          <cell r="D112">
            <v>77</v>
          </cell>
          <cell r="E112">
            <v>0</v>
          </cell>
        </row>
        <row r="113">
          <cell r="A113" t="str">
            <v>'4000100707</v>
          </cell>
          <cell r="B113" t="str">
            <v xml:space="preserve">FERTILISA W NPK 19-9-19  1KG </v>
          </cell>
          <cell r="D113">
            <v>250</v>
          </cell>
          <cell r="E113">
            <v>-250</v>
          </cell>
        </row>
        <row r="114">
          <cell r="A114" t="str">
            <v>'4000100708</v>
          </cell>
          <cell r="B114" t="str">
            <v xml:space="preserve">FERTILISA W NPK 19-9-19  3KG </v>
          </cell>
          <cell r="D114">
            <v>100</v>
          </cell>
          <cell r="E114">
            <v>-100</v>
          </cell>
        </row>
        <row r="115">
          <cell r="A115" t="str">
            <v>'4000100709</v>
          </cell>
          <cell r="B115" t="str">
            <v>MAGNISOL 1KG</v>
          </cell>
          <cell r="D115">
            <v>250</v>
          </cell>
          <cell r="E115">
            <v>-250</v>
          </cell>
        </row>
        <row r="116">
          <cell r="A116" t="str">
            <v>'4000100710</v>
          </cell>
          <cell r="B116" t="str">
            <v>MAGNISOL 3KG</v>
          </cell>
          <cell r="D116">
            <v>100</v>
          </cell>
          <cell r="E116">
            <v>-100</v>
          </cell>
        </row>
        <row r="117">
          <cell r="A117" t="str">
            <v>Codigo</v>
          </cell>
          <cell r="B117" t="str">
            <v>Descripcion</v>
          </cell>
          <cell r="C117" t="str">
            <v>Fisico</v>
          </cell>
          <cell r="D117" t="str">
            <v>Sistema</v>
          </cell>
          <cell r="E117" t="str">
            <v>Dif.</v>
          </cell>
        </row>
        <row r="118">
          <cell r="A118" t="str">
            <v>'ABP-13</v>
          </cell>
          <cell r="B118" t="str">
            <v>ABP - Bacter Crecimiento Galon</v>
          </cell>
          <cell r="C118">
            <v>0</v>
          </cell>
          <cell r="D118" t="str">
            <v/>
          </cell>
          <cell r="E118" t="str">
            <v/>
          </cell>
        </row>
        <row r="119">
          <cell r="A119" t="str">
            <v>'ABP-41</v>
          </cell>
          <cell r="B119" t="str">
            <v>ABP - Baubassil 1 Kg</v>
          </cell>
          <cell r="C119">
            <v>0</v>
          </cell>
          <cell r="D119" t="str">
            <v/>
          </cell>
          <cell r="E119" t="str">
            <v/>
          </cell>
        </row>
        <row r="120">
          <cell r="A120" t="str">
            <v>'ABP-35</v>
          </cell>
          <cell r="B120" t="str">
            <v>ABP - Bio Add  x 1 Lt</v>
          </cell>
          <cell r="C120">
            <v>0</v>
          </cell>
          <cell r="D120" t="str">
            <v/>
          </cell>
          <cell r="E120" t="str">
            <v/>
          </cell>
        </row>
        <row r="121">
          <cell r="A121" t="str">
            <v>'ABP-34</v>
          </cell>
          <cell r="B121" t="str">
            <v>ABP - Bio Add  x Galon</v>
          </cell>
          <cell r="C121">
            <v>0</v>
          </cell>
          <cell r="D121" t="str">
            <v/>
          </cell>
          <cell r="E121" t="str">
            <v/>
          </cell>
        </row>
        <row r="122">
          <cell r="A122" t="str">
            <v>'ABP-32</v>
          </cell>
          <cell r="B122" t="str">
            <v>ABP - Rhizobacter x Lt</v>
          </cell>
          <cell r="C122">
            <v>0</v>
          </cell>
          <cell r="D122" t="str">
            <v/>
          </cell>
          <cell r="E122" t="str">
            <v/>
          </cell>
        </row>
        <row r="123">
          <cell r="A123" t="str">
            <v>'ABP-25</v>
          </cell>
          <cell r="B123" t="str">
            <v>ABP - Turincol Galon</v>
          </cell>
          <cell r="C123">
            <v>0</v>
          </cell>
          <cell r="D123" t="str">
            <v/>
          </cell>
          <cell r="E123" t="str">
            <v/>
          </cell>
        </row>
        <row r="124">
          <cell r="A124" t="str">
            <v>'40001353</v>
          </cell>
          <cell r="B124" t="str">
            <v>Agrotecnica - ACTIVADOR 20L</v>
          </cell>
          <cell r="C124">
            <v>0</v>
          </cell>
          <cell r="D124" t="str">
            <v/>
          </cell>
          <cell r="E124" t="str">
            <v/>
          </cell>
        </row>
        <row r="125">
          <cell r="A125" t="str">
            <v>'4000100520</v>
          </cell>
          <cell r="B125" t="str">
            <v>Azufertil 5E 50 Kg</v>
          </cell>
          <cell r="C125">
            <v>0</v>
          </cell>
          <cell r="D125" t="str">
            <v/>
          </cell>
          <cell r="E125" t="str">
            <v/>
          </cell>
        </row>
        <row r="126">
          <cell r="A126" t="str">
            <v>'ABP-14</v>
          </cell>
          <cell r="B126" t="str">
            <v>Bacter Crecimiento x Lt</v>
          </cell>
          <cell r="C126">
            <v>0</v>
          </cell>
          <cell r="D126" t="str">
            <v/>
          </cell>
          <cell r="E126" t="str">
            <v/>
          </cell>
        </row>
        <row r="127">
          <cell r="A127" t="str">
            <v>'ABP-19</v>
          </cell>
          <cell r="B127" t="str">
            <v>Bacter DMO Galon</v>
          </cell>
          <cell r="C127">
            <v>0</v>
          </cell>
          <cell r="D127" t="str">
            <v/>
          </cell>
          <cell r="E127" t="str">
            <v/>
          </cell>
        </row>
        <row r="128">
          <cell r="A128" t="str">
            <v>'ABP-20</v>
          </cell>
          <cell r="B128" t="str">
            <v>Bacter DMO x Lt</v>
          </cell>
          <cell r="C128">
            <v>0</v>
          </cell>
          <cell r="D128" t="str">
            <v/>
          </cell>
          <cell r="E128" t="str">
            <v/>
          </cell>
        </row>
        <row r="129">
          <cell r="A129" t="str">
            <v>'ABP-43</v>
          </cell>
          <cell r="B129" t="str">
            <v>Baubasil x 250 G</v>
          </cell>
          <cell r="C129">
            <v>0</v>
          </cell>
          <cell r="D129" t="str">
            <v/>
          </cell>
          <cell r="E129" t="str">
            <v/>
          </cell>
        </row>
        <row r="130">
          <cell r="A130" t="str">
            <v>'4000100637</v>
          </cell>
          <cell r="B130" t="str">
            <v>Bio - Tri Max 3 WP x 1 Kg</v>
          </cell>
          <cell r="C130">
            <v>0</v>
          </cell>
          <cell r="D130" t="str">
            <v/>
          </cell>
          <cell r="E130" t="str">
            <v/>
          </cell>
        </row>
        <row r="131">
          <cell r="A131" t="str">
            <v>'4000100594</v>
          </cell>
          <cell r="B131" t="str">
            <v>Bio - Veria 4 WP x 1 Kg</v>
          </cell>
          <cell r="C131">
            <v>0</v>
          </cell>
          <cell r="D131" t="str">
            <v/>
          </cell>
          <cell r="E131" t="str">
            <v/>
          </cell>
        </row>
        <row r="132">
          <cell r="A132" t="str">
            <v>'4000100331</v>
          </cell>
          <cell r="B132" t="str">
            <v>Brandt Manni Plex Mg 10 Lts</v>
          </cell>
          <cell r="C132">
            <v>0</v>
          </cell>
          <cell r="D132" t="str">
            <v/>
          </cell>
          <cell r="E132" t="str">
            <v/>
          </cell>
        </row>
        <row r="133">
          <cell r="A133" t="str">
            <v>'4000100324</v>
          </cell>
          <cell r="B133" t="str">
            <v>Brandt Manni Plex Mg 4 Lts</v>
          </cell>
          <cell r="C133">
            <v>0</v>
          </cell>
          <cell r="D133" t="str">
            <v/>
          </cell>
          <cell r="E133" t="str">
            <v/>
          </cell>
        </row>
        <row r="134">
          <cell r="A134" t="str">
            <v>'4000100442</v>
          </cell>
          <cell r="B134" t="str">
            <v>Brandt Organiplex 4% Fe, 2.5 Gl</v>
          </cell>
          <cell r="C134">
            <v>0</v>
          </cell>
          <cell r="D134" t="str">
            <v/>
          </cell>
          <cell r="E134" t="str">
            <v/>
          </cell>
        </row>
        <row r="135">
          <cell r="A135" t="str">
            <v>'4000100531</v>
          </cell>
          <cell r="B135" t="str">
            <v>BRANDT ORGANIPLEX FE  1L</v>
          </cell>
          <cell r="C135">
            <v>0</v>
          </cell>
          <cell r="D135" t="str">
            <v/>
          </cell>
          <cell r="E135" t="str">
            <v/>
          </cell>
        </row>
        <row r="136">
          <cell r="A136" t="str">
            <v>'4000100615</v>
          </cell>
          <cell r="B136" t="str">
            <v>CAMPO LOX (HALOXYFOP) 10LT</v>
          </cell>
          <cell r="D136" t="str">
            <v/>
          </cell>
          <cell r="E136" t="str">
            <v/>
          </cell>
        </row>
        <row r="137">
          <cell r="A137" t="str">
            <v>'4000100529</v>
          </cell>
          <cell r="B137" t="str">
            <v>CANALETA HIDROPONICA BLANCA 700 x 1M</v>
          </cell>
          <cell r="C137">
            <v>0</v>
          </cell>
          <cell r="D137" t="str">
            <v/>
          </cell>
          <cell r="E137" t="str">
            <v/>
          </cell>
        </row>
        <row r="138">
          <cell r="A138" t="str">
            <v>'11208</v>
          </cell>
          <cell r="B138" t="str">
            <v>Disan Agro - NPK Nutrimon 15-15-15 50 Kg</v>
          </cell>
          <cell r="C138">
            <v>0</v>
          </cell>
          <cell r="D138" t="str">
            <v/>
          </cell>
          <cell r="E138" t="str">
            <v/>
          </cell>
        </row>
        <row r="139">
          <cell r="A139" t="str">
            <v>'4000100599</v>
          </cell>
          <cell r="B139" t="str">
            <v>Fertilisa NPK 19-9-19 x 50 Kg</v>
          </cell>
          <cell r="C139">
            <v>0</v>
          </cell>
          <cell r="D139" t="str">
            <v/>
          </cell>
          <cell r="E139" t="str">
            <v/>
          </cell>
        </row>
        <row r="140">
          <cell r="A140" t="str">
            <v>'4000100625</v>
          </cell>
          <cell r="B140" t="str">
            <v>Fertilisa W NPK 19-919 no Conforme X 50 Kg</v>
          </cell>
          <cell r="C140">
            <v>0</v>
          </cell>
          <cell r="D140" t="str">
            <v/>
          </cell>
          <cell r="E140" t="str">
            <v/>
          </cell>
        </row>
        <row r="141">
          <cell r="A141" t="str">
            <v>'ABP-23</v>
          </cell>
          <cell r="B141" t="str">
            <v>Fosfobacs x Lt</v>
          </cell>
          <cell r="C141">
            <v>0</v>
          </cell>
          <cell r="D141" t="str">
            <v/>
          </cell>
          <cell r="E141" t="str">
            <v/>
          </cell>
        </row>
        <row r="142">
          <cell r="A142" t="str">
            <v>'4000100386</v>
          </cell>
          <cell r="B142" t="str">
            <v>FQ 12-24-12+8.8S 45 Kg</v>
          </cell>
          <cell r="C142">
            <v>0</v>
          </cell>
          <cell r="D142" t="str">
            <v/>
          </cell>
          <cell r="E142" t="str">
            <v/>
          </cell>
        </row>
        <row r="143">
          <cell r="A143" t="str">
            <v>'ABP-10</v>
          </cell>
          <cell r="B143" t="str">
            <v>Fungibacs 20 Sc Galon</v>
          </cell>
          <cell r="C143">
            <v>0</v>
          </cell>
          <cell r="D143" t="str">
            <v/>
          </cell>
          <cell r="E143" t="str">
            <v/>
          </cell>
        </row>
        <row r="144">
          <cell r="A144" t="str">
            <v>'ABP-11</v>
          </cell>
          <cell r="B144" t="str">
            <v>Fungibacs 20 Sc x Lt</v>
          </cell>
          <cell r="C144">
            <v>0</v>
          </cell>
          <cell r="D144" t="str">
            <v/>
          </cell>
          <cell r="E144" t="str">
            <v/>
          </cell>
        </row>
        <row r="145">
          <cell r="A145" t="str">
            <v>'4000100603</v>
          </cell>
          <cell r="B145" t="str">
            <v>HALOFOR 75 WG 1KG</v>
          </cell>
          <cell r="D145" t="str">
            <v/>
          </cell>
          <cell r="E145" t="str">
            <v/>
          </cell>
        </row>
        <row r="146">
          <cell r="A146" t="str">
            <v>'ABP-01</v>
          </cell>
          <cell r="B146" t="str">
            <v>Insecbiol 10 Wp x 1Kg</v>
          </cell>
          <cell r="C146">
            <v>0</v>
          </cell>
          <cell r="D146" t="str">
            <v/>
          </cell>
          <cell r="E146" t="str">
            <v/>
          </cell>
        </row>
        <row r="147">
          <cell r="A147" t="str">
            <v>'4000100494</v>
          </cell>
          <cell r="B147" t="str">
            <v>Jiffy Bolsa de Crecimiento coco mix Esse SC12L</v>
          </cell>
          <cell r="C147">
            <v>0</v>
          </cell>
          <cell r="D147" t="str">
            <v/>
          </cell>
          <cell r="E147" t="str">
            <v/>
          </cell>
        </row>
        <row r="148">
          <cell r="A148" t="str">
            <v>'4000100496</v>
          </cell>
          <cell r="B148" t="str">
            <v>Jiffy Pellet Coco 35*58 MM NPK CJ1078</v>
          </cell>
          <cell r="C148">
            <v>0</v>
          </cell>
          <cell r="E148">
            <v>0</v>
          </cell>
        </row>
        <row r="149">
          <cell r="A149" t="str">
            <v>'4000100489</v>
          </cell>
          <cell r="B149" t="str">
            <v>Jiffy Pellet Horticola 36*75 - 96 Bionet - CJ 576</v>
          </cell>
          <cell r="C149">
            <v>0</v>
          </cell>
          <cell r="D149" t="str">
            <v/>
          </cell>
          <cell r="E149" t="str">
            <v/>
          </cell>
        </row>
        <row r="150">
          <cell r="A150" t="str">
            <v>'4000100495</v>
          </cell>
          <cell r="B150" t="str">
            <v>Jiffy Pellet Horticola 50*150 Bio</v>
          </cell>
          <cell r="C150">
            <v>0</v>
          </cell>
          <cell r="D150" t="str">
            <v/>
          </cell>
          <cell r="E150" t="str">
            <v/>
          </cell>
        </row>
        <row r="151">
          <cell r="A151" t="str">
            <v>'4000100542</v>
          </cell>
          <cell r="B151" t="str">
            <v>Manvert Azumix x 5 Lts</v>
          </cell>
          <cell r="C151">
            <v>0</v>
          </cell>
          <cell r="D151" t="str">
            <v/>
          </cell>
          <cell r="E151" t="str">
            <v/>
          </cell>
        </row>
        <row r="152">
          <cell r="A152" t="str">
            <v>'12718</v>
          </cell>
          <cell r="B152" t="str">
            <v>Manvert Complex - FR1 x Lt</v>
          </cell>
          <cell r="C152">
            <v>0</v>
          </cell>
          <cell r="D152" t="str">
            <v/>
          </cell>
          <cell r="E152" t="str">
            <v/>
          </cell>
        </row>
        <row r="153">
          <cell r="A153" t="str">
            <v>'10994</v>
          </cell>
          <cell r="B153" t="str">
            <v>Manvert Defense Cu - FR1 x Lt</v>
          </cell>
          <cell r="C153">
            <v>0</v>
          </cell>
          <cell r="D153" t="str">
            <v/>
          </cell>
          <cell r="E153" t="str">
            <v/>
          </cell>
        </row>
        <row r="154">
          <cell r="A154" t="str">
            <v>'4000100683</v>
          </cell>
          <cell r="B154" t="str">
            <v>Manvert Phytosoap x Lts</v>
          </cell>
          <cell r="C154">
            <v>0</v>
          </cell>
          <cell r="D154" t="str">
            <v/>
          </cell>
          <cell r="E154" t="str">
            <v/>
          </cell>
        </row>
        <row r="155">
          <cell r="A155" t="str">
            <v>'MELAZA</v>
          </cell>
          <cell r="B155" t="str">
            <v>Melaza 6 Gls</v>
          </cell>
          <cell r="C155">
            <v>0</v>
          </cell>
          <cell r="D155" t="str">
            <v/>
          </cell>
          <cell r="E155" t="str">
            <v/>
          </cell>
        </row>
        <row r="156">
          <cell r="A156" t="str">
            <v>'4000100455</v>
          </cell>
          <cell r="B156" t="str">
            <v>Mf 25.7-6.9-21 con Nitro Xtend x 45 Kg</v>
          </cell>
          <cell r="C156">
            <v>0</v>
          </cell>
          <cell r="D156" t="str">
            <v/>
          </cell>
          <cell r="E156" t="str">
            <v/>
          </cell>
        </row>
        <row r="157">
          <cell r="A157" t="str">
            <v>'4000100457</v>
          </cell>
          <cell r="B157" t="str">
            <v>Mf 28-6.9-18 con Nitro Xtend 45 Kg</v>
          </cell>
          <cell r="C157">
            <v>0</v>
          </cell>
          <cell r="D157" t="str">
            <v/>
          </cell>
          <cell r="E157" t="str">
            <v/>
          </cell>
        </row>
        <row r="158">
          <cell r="A158" t="str">
            <v>'P-051199</v>
          </cell>
          <cell r="B158" t="str">
            <v>MF 28-6.9-18 CON NITRO XTEND 45 KG C</v>
          </cell>
          <cell r="C158">
            <v>0</v>
          </cell>
          <cell r="D158" t="str">
            <v/>
          </cell>
          <cell r="E158" t="str">
            <v/>
          </cell>
        </row>
        <row r="159">
          <cell r="A159" t="str">
            <v>'P-0511992</v>
          </cell>
          <cell r="B159" t="str">
            <v>Mf 28-6.9-18 con Nitro Xtend 50 Kg</v>
          </cell>
          <cell r="C159">
            <v>0</v>
          </cell>
          <cell r="D159" t="str">
            <v/>
          </cell>
          <cell r="E159" t="str">
            <v/>
          </cell>
        </row>
        <row r="160">
          <cell r="A160" t="str">
            <v>'ABP-38</v>
          </cell>
          <cell r="B160" t="str">
            <v>Micorrizol x 1 Kg</v>
          </cell>
          <cell r="C160">
            <v>0</v>
          </cell>
          <cell r="D160" t="str">
            <v/>
          </cell>
          <cell r="E160" t="str">
            <v/>
          </cell>
        </row>
        <row r="161">
          <cell r="A161" t="str">
            <v>'ABP-37</v>
          </cell>
          <cell r="B161" t="str">
            <v>Micorrizol x 8 Kg</v>
          </cell>
          <cell r="C161">
            <v>0</v>
          </cell>
          <cell r="D161" t="str">
            <v/>
          </cell>
          <cell r="E161" t="str">
            <v/>
          </cell>
        </row>
        <row r="162">
          <cell r="A162" t="str">
            <v>'MONO17</v>
          </cell>
          <cell r="B162" t="str">
            <v>Monomeros - NPK Nutrimon 17-6-18 50 Kg</v>
          </cell>
          <cell r="C162">
            <v>0</v>
          </cell>
          <cell r="D162" t="str">
            <v/>
          </cell>
          <cell r="E162" t="str">
            <v/>
          </cell>
        </row>
        <row r="163">
          <cell r="A163" t="str">
            <v>'4000100501</v>
          </cell>
          <cell r="B163" t="str">
            <v>Monomeros - Nutrimon Produmon 12-8-24 X 50 Kg</v>
          </cell>
          <cell r="C163">
            <v>0</v>
          </cell>
          <cell r="D163" t="str">
            <v/>
          </cell>
          <cell r="E163" t="str">
            <v/>
          </cell>
        </row>
        <row r="164">
          <cell r="A164" t="str">
            <v>'4000100639</v>
          </cell>
          <cell r="B164" t="str">
            <v>Mop Gra 60K20 x 45 Kg</v>
          </cell>
          <cell r="D164" t="str">
            <v/>
          </cell>
          <cell r="E164" t="str">
            <v/>
          </cell>
        </row>
        <row r="165">
          <cell r="A165" t="str">
            <v>'4000100497</v>
          </cell>
          <cell r="B165" t="str">
            <v>NPK Nutrimon 15-4-23 50 Kg</v>
          </cell>
          <cell r="C165">
            <v>0</v>
          </cell>
          <cell r="E165">
            <v>0</v>
          </cell>
        </row>
        <row r="166">
          <cell r="A166" t="str">
            <v>'11210</v>
          </cell>
          <cell r="B166" t="str">
            <v>Nut. Produmon 12-8-24  50KG</v>
          </cell>
          <cell r="C166">
            <v>0</v>
          </cell>
          <cell r="D166" t="str">
            <v/>
          </cell>
          <cell r="E166" t="str">
            <v/>
          </cell>
        </row>
        <row r="167">
          <cell r="A167" t="str">
            <v>'ABP-16</v>
          </cell>
          <cell r="B167" t="str">
            <v>Nutribacter Suelo x Galon</v>
          </cell>
          <cell r="C167">
            <v>0</v>
          </cell>
          <cell r="D167" t="str">
            <v/>
          </cell>
          <cell r="E167" t="str">
            <v/>
          </cell>
        </row>
        <row r="168">
          <cell r="A168" t="str">
            <v>'ABP-17</v>
          </cell>
          <cell r="B168" t="str">
            <v>Nutribacter Suelo x Lt</v>
          </cell>
          <cell r="C168">
            <v>0</v>
          </cell>
          <cell r="D168" t="str">
            <v/>
          </cell>
          <cell r="E168" t="str">
            <v/>
          </cell>
        </row>
        <row r="169">
          <cell r="A169" t="str">
            <v>'4000100500</v>
          </cell>
          <cell r="B169" t="str">
            <v>Nutricarga 19-4-18 50 Kg</v>
          </cell>
          <cell r="C169">
            <v>0</v>
          </cell>
          <cell r="D169" t="str">
            <v/>
          </cell>
          <cell r="E169" t="str">
            <v/>
          </cell>
        </row>
        <row r="170">
          <cell r="A170" t="str">
            <v>'11206</v>
          </cell>
          <cell r="B170" t="str">
            <v>Nutrimon 13-26-6 x 50 Kg</v>
          </cell>
          <cell r="C170">
            <v>0</v>
          </cell>
          <cell r="D170" t="str">
            <v/>
          </cell>
          <cell r="E170" t="str">
            <v/>
          </cell>
        </row>
        <row r="171">
          <cell r="A171" t="str">
            <v>'11256</v>
          </cell>
          <cell r="B171" t="str">
            <v>Nutrimon Enpalma - K 50 Kg</v>
          </cell>
          <cell r="C171">
            <v>0</v>
          </cell>
          <cell r="D171" t="str">
            <v/>
          </cell>
          <cell r="E171" t="str">
            <v/>
          </cell>
        </row>
        <row r="172">
          <cell r="A172" t="str">
            <v>'4000100507</v>
          </cell>
          <cell r="B172" t="str">
            <v>Nutrimon Nitrasam no conforme 50 Kg</v>
          </cell>
          <cell r="C172">
            <v>0</v>
          </cell>
          <cell r="D172" t="str">
            <v/>
          </cell>
          <cell r="E172" t="str">
            <v/>
          </cell>
        </row>
        <row r="173">
          <cell r="A173" t="str">
            <v>'4000100476</v>
          </cell>
          <cell r="B173" t="str">
            <v>Nutrimon Nitrasam x 50 Kg</v>
          </cell>
          <cell r="C173">
            <v>0</v>
          </cell>
          <cell r="D173" t="str">
            <v/>
          </cell>
          <cell r="E173" t="str">
            <v/>
          </cell>
        </row>
        <row r="174">
          <cell r="A174" t="str">
            <v>'4000100598</v>
          </cell>
          <cell r="B174" t="str">
            <v>Nutrimon NPK 17-6-18-2  50KG</v>
          </cell>
          <cell r="C174">
            <v>0</v>
          </cell>
          <cell r="D174" t="str">
            <v/>
          </cell>
          <cell r="E174" t="str">
            <v/>
          </cell>
        </row>
        <row r="175">
          <cell r="A175" t="str">
            <v>'11209</v>
          </cell>
          <cell r="B175" t="str">
            <v>Nutrimon Sembramon 50 Kg</v>
          </cell>
          <cell r="C175">
            <v>0</v>
          </cell>
          <cell r="D175" t="str">
            <v/>
          </cell>
          <cell r="E175" t="str">
            <v/>
          </cell>
        </row>
        <row r="176">
          <cell r="A176" t="str">
            <v>'4000100453</v>
          </cell>
          <cell r="B176" t="str">
            <v>Nutrimon Urea G 46% x 50 Kg</v>
          </cell>
          <cell r="C176">
            <v>0</v>
          </cell>
          <cell r="D176" t="str">
            <v/>
          </cell>
          <cell r="E176" t="str">
            <v/>
          </cell>
        </row>
        <row r="177">
          <cell r="A177" t="str">
            <v>'4000100619</v>
          </cell>
          <cell r="B177" t="str">
            <v>OBULUS (LAMBDACYALOTRINA) 5L</v>
          </cell>
          <cell r="D177" t="str">
            <v/>
          </cell>
          <cell r="E177" t="str">
            <v/>
          </cell>
        </row>
        <row r="178">
          <cell r="A178" t="str">
            <v>'4000100519</v>
          </cell>
          <cell r="B178" t="str">
            <v>Opera 18.3 SE 5 Lts</v>
          </cell>
          <cell r="C178">
            <v>0</v>
          </cell>
          <cell r="D178" t="str">
            <v/>
          </cell>
          <cell r="E178" t="str">
            <v/>
          </cell>
        </row>
        <row r="179">
          <cell r="A179" t="str">
            <v>'4000100354</v>
          </cell>
          <cell r="B179" t="str">
            <v>Opistra - Ferti K 25 Kg</v>
          </cell>
          <cell r="C179">
            <v>0</v>
          </cell>
          <cell r="D179" t="str">
            <v/>
          </cell>
          <cell r="E179" t="str">
            <v/>
          </cell>
        </row>
        <row r="180">
          <cell r="A180" t="str">
            <v>'4000100568</v>
          </cell>
          <cell r="B180" t="str">
            <v>Opistra - Magnisol 25 Kg</v>
          </cell>
          <cell r="C180">
            <v>0</v>
          </cell>
          <cell r="D180" t="str">
            <v/>
          </cell>
          <cell r="E180" t="str">
            <v/>
          </cell>
        </row>
        <row r="181">
          <cell r="A181" t="str">
            <v>'4000100358</v>
          </cell>
          <cell r="B181" t="str">
            <v>Opistra - Map 12-61-0 25 Kg</v>
          </cell>
          <cell r="C181">
            <v>0</v>
          </cell>
          <cell r="D181" t="str">
            <v/>
          </cell>
          <cell r="E181" t="str">
            <v/>
          </cell>
        </row>
        <row r="182">
          <cell r="A182" t="str">
            <v>'4000100689</v>
          </cell>
          <cell r="B182" t="str">
            <v>POEMA PERROS PATAGÓNICO 12KG</v>
          </cell>
          <cell r="C182">
            <v>0</v>
          </cell>
          <cell r="D182" t="str">
            <v/>
          </cell>
          <cell r="E182" t="str">
            <v/>
          </cell>
        </row>
        <row r="183">
          <cell r="A183" t="str">
            <v>'4000100611</v>
          </cell>
          <cell r="B183" t="str">
            <v>PREDATOR 50 EC 10LT</v>
          </cell>
          <cell r="D183" t="str">
            <v/>
          </cell>
          <cell r="E183" t="str">
            <v/>
          </cell>
        </row>
        <row r="184">
          <cell r="A184" t="str">
            <v>'4000100612</v>
          </cell>
          <cell r="B184" t="str">
            <v>PREDATOR 50 EC 1LT</v>
          </cell>
          <cell r="D184" t="str">
            <v/>
          </cell>
          <cell r="E184" t="str">
            <v/>
          </cell>
        </row>
        <row r="185">
          <cell r="A185" t="str">
            <v>'4000100610</v>
          </cell>
          <cell r="B185" t="str">
            <v>PREDATOR 50 EC 20L</v>
          </cell>
          <cell r="D185" t="str">
            <v/>
          </cell>
          <cell r="E185" t="str">
            <v/>
          </cell>
        </row>
        <row r="186">
          <cell r="A186" t="str">
            <v>'4000100614</v>
          </cell>
          <cell r="B186" t="str">
            <v>QUICK 12,30 EC (QUIZALOFOP) 10LT</v>
          </cell>
          <cell r="D186" t="str">
            <v/>
          </cell>
          <cell r="E186" t="str">
            <v/>
          </cell>
        </row>
        <row r="187">
          <cell r="A187" t="str">
            <v>'4000100548</v>
          </cell>
          <cell r="B187" t="str">
            <v>Quiver Cuaje x 20 Lts</v>
          </cell>
          <cell r="C187">
            <v>0</v>
          </cell>
          <cell r="D187" t="str">
            <v/>
          </cell>
          <cell r="E187" t="str">
            <v/>
          </cell>
        </row>
        <row r="188">
          <cell r="A188" t="str">
            <v>'4000100549</v>
          </cell>
          <cell r="B188" t="str">
            <v>QUIVER FRUCTÓN LQ   1L</v>
          </cell>
          <cell r="C188">
            <v>0</v>
          </cell>
          <cell r="D188" t="str">
            <v/>
          </cell>
          <cell r="E188" t="str">
            <v/>
          </cell>
        </row>
        <row r="189">
          <cell r="A189" t="str">
            <v>'4000100559</v>
          </cell>
          <cell r="B189" t="str">
            <v>Quiver Oxigeno 100 ME x 5 Lts</v>
          </cell>
          <cell r="C189">
            <v>0</v>
          </cell>
          <cell r="D189" t="str">
            <v/>
          </cell>
          <cell r="E189" t="str">
            <v/>
          </cell>
        </row>
        <row r="190">
          <cell r="A190" t="str">
            <v>'4000100545</v>
          </cell>
          <cell r="B190" t="str">
            <v>Quiver Raiz x 20 Lts</v>
          </cell>
          <cell r="C190">
            <v>0</v>
          </cell>
          <cell r="D190" t="str">
            <v/>
          </cell>
          <cell r="E190" t="str">
            <v/>
          </cell>
        </row>
        <row r="191">
          <cell r="A191" t="str">
            <v>'ABP-29</v>
          </cell>
          <cell r="B191" t="str">
            <v>Rhizobacs 10 Sc x Lts</v>
          </cell>
          <cell r="C191">
            <v>0</v>
          </cell>
          <cell r="D191" t="str">
            <v/>
          </cell>
          <cell r="E191" t="str">
            <v/>
          </cell>
        </row>
        <row r="192">
          <cell r="B192" t="str">
            <v>Strepto 2 WP x 250 g</v>
          </cell>
          <cell r="C192">
            <v>0</v>
          </cell>
          <cell r="D192" t="str">
            <v/>
          </cell>
          <cell r="E192" t="str">
            <v/>
          </cell>
        </row>
        <row r="193">
          <cell r="A193" t="str">
            <v>'53502</v>
          </cell>
          <cell r="B193" t="str">
            <v xml:space="preserve">SUR DOLOMAG  50KG                           </v>
          </cell>
          <cell r="C193">
            <v>0</v>
          </cell>
          <cell r="D193" t="str">
            <v/>
          </cell>
          <cell r="E193" t="str">
            <v/>
          </cell>
        </row>
        <row r="194">
          <cell r="A194" t="str">
            <v>'4000100618</v>
          </cell>
          <cell r="B194" t="str">
            <v>TALANTE (THIAMETOXAN) 250G</v>
          </cell>
          <cell r="D194" t="str">
            <v/>
          </cell>
          <cell r="E194" t="str">
            <v/>
          </cell>
        </row>
        <row r="195">
          <cell r="A195" t="str">
            <v>'ABP-07</v>
          </cell>
          <cell r="B195" t="str">
            <v>Tricho Drone</v>
          </cell>
          <cell r="C195">
            <v>0</v>
          </cell>
          <cell r="D195" t="str">
            <v/>
          </cell>
          <cell r="E195" t="str">
            <v/>
          </cell>
        </row>
        <row r="196">
          <cell r="A196" t="str">
            <v>'ABP-04</v>
          </cell>
          <cell r="B196" t="str">
            <v>Tricho H.V. 10 Sp x 1Kg</v>
          </cell>
          <cell r="C196">
            <v>0</v>
          </cell>
          <cell r="D196" t="str">
            <v/>
          </cell>
          <cell r="E196" t="str">
            <v/>
          </cell>
        </row>
        <row r="197">
          <cell r="A197" t="str">
            <v>'ABP-26</v>
          </cell>
          <cell r="B197" t="str">
            <v>Turincol x 1 Lt</v>
          </cell>
          <cell r="C197">
            <v>0</v>
          </cell>
          <cell r="D197" t="str">
            <v/>
          </cell>
          <cell r="E197" t="str">
            <v/>
          </cell>
        </row>
        <row r="198">
          <cell r="A198" t="str">
            <v>'4000100632</v>
          </cell>
          <cell r="B198" t="str">
            <v>Urea 46% con NX x 45 Kg</v>
          </cell>
          <cell r="E198">
            <v>0</v>
          </cell>
        </row>
        <row r="199">
          <cell r="A199" t="str">
            <v>'4000100504</v>
          </cell>
          <cell r="B199" t="str">
            <v>Urea 46% x 45 Kg</v>
          </cell>
          <cell r="E199">
            <v>0</v>
          </cell>
        </row>
        <row r="200">
          <cell r="A200" t="str">
            <v>'4000100419</v>
          </cell>
          <cell r="B200" t="str">
            <v>Urea 46% x 45 Kg</v>
          </cell>
          <cell r="D200" t="str">
            <v/>
          </cell>
          <cell r="E200" t="str">
            <v/>
          </cell>
        </row>
        <row r="201">
          <cell r="A201" t="str">
            <v>'4000100391</v>
          </cell>
          <cell r="B201" t="str">
            <v>YaraLiva Calcinit 25 Kg</v>
          </cell>
          <cell r="C201">
            <v>0</v>
          </cell>
          <cell r="D201" t="str">
            <v/>
          </cell>
          <cell r="E201" t="str">
            <v/>
          </cell>
        </row>
        <row r="202">
          <cell r="A202" t="str">
            <v>'40010136</v>
          </cell>
          <cell r="B202" t="str">
            <v>YaraMila Hydran x 45 Kg</v>
          </cell>
          <cell r="C202">
            <v>0</v>
          </cell>
          <cell r="D202" t="str">
            <v/>
          </cell>
          <cell r="E202" t="str">
            <v/>
          </cell>
        </row>
        <row r="203">
          <cell r="A203" t="str">
            <v>'4000100388</v>
          </cell>
          <cell r="B203" t="str">
            <v>YARAVERA AMIDAS 45KG</v>
          </cell>
          <cell r="C203">
            <v>0</v>
          </cell>
          <cell r="D203" t="str">
            <v/>
          </cell>
          <cell r="E203" t="str">
            <v/>
          </cell>
        </row>
        <row r="204">
          <cell r="A204" t="str">
            <v>'4000100566</v>
          </cell>
          <cell r="B204" t="str">
            <v>YaraTera Nitrabor x 45 Kg</v>
          </cell>
          <cell r="C204">
            <v>0</v>
          </cell>
          <cell r="D204" t="str">
            <v/>
          </cell>
          <cell r="E204" t="str">
            <v/>
          </cell>
        </row>
        <row r="205">
          <cell r="A205" t="str">
            <v>'4000100597</v>
          </cell>
          <cell r="B205" t="str">
            <v>Bandeja de Crecimiento Larga</v>
          </cell>
          <cell r="C205">
            <v>2934</v>
          </cell>
          <cell r="D205" t="str">
            <v/>
          </cell>
          <cell r="E205" t="str">
            <v/>
          </cell>
        </row>
        <row r="206">
          <cell r="A206" t="str">
            <v>'4000100653</v>
          </cell>
          <cell r="B206" t="str">
            <v>SARAN NEGRO 50% SOMBRA (3.70M X 100M)</v>
          </cell>
          <cell r="C206">
            <v>0</v>
          </cell>
          <cell r="D206" t="str">
            <v/>
          </cell>
          <cell r="E206" t="str">
            <v/>
          </cell>
        </row>
        <row r="207">
          <cell r="A207" t="str">
            <v>'4000100654</v>
          </cell>
          <cell r="B207" t="str">
            <v>SARAN NEGRO 50% SOMBRA (3.70M X 100M) CON OJETES</v>
          </cell>
          <cell r="C207">
            <v>0</v>
          </cell>
          <cell r="D207" t="str">
            <v/>
          </cell>
          <cell r="E207" t="str">
            <v/>
          </cell>
        </row>
        <row r="208">
          <cell r="A208" t="str">
            <v>'ABP-40</v>
          </cell>
          <cell r="B208" t="str">
            <v>ABP - MM Liquido 1 Litro</v>
          </cell>
          <cell r="C208">
            <v>0</v>
          </cell>
          <cell r="D208" t="str">
            <v/>
          </cell>
          <cell r="E208" t="str">
            <v/>
          </cell>
        </row>
        <row r="209">
          <cell r="A209" t="str">
            <v>'4000100366</v>
          </cell>
          <cell r="B209" t="str">
            <v>YaraMila Rafos x 45 Kg</v>
          </cell>
          <cell r="C209">
            <v>0</v>
          </cell>
          <cell r="D209" t="str">
            <v/>
          </cell>
          <cell r="E209" t="str">
            <v/>
          </cell>
        </row>
        <row r="210">
          <cell r="A210" t="str">
            <v>'4000100487</v>
          </cell>
          <cell r="B210" t="str">
            <v>Jiffy Bolsa de Crecimiento 70/30 Coco Mix-SC 18L</v>
          </cell>
          <cell r="C210">
            <v>0</v>
          </cell>
          <cell r="D210" t="str">
            <v/>
          </cell>
          <cell r="E210" t="str">
            <v/>
          </cell>
        </row>
        <row r="211">
          <cell r="A211" t="str">
            <v>'4000100687</v>
          </cell>
          <cell r="B211" t="str">
            <v>CAL DOLOMITA PLUS 50 KGS</v>
          </cell>
          <cell r="C211">
            <v>0</v>
          </cell>
          <cell r="D211" t="str">
            <v/>
          </cell>
          <cell r="E211" t="str">
            <v/>
          </cell>
        </row>
        <row r="212">
          <cell r="A212" t="str">
            <v>'4000100521</v>
          </cell>
          <cell r="B212" t="str">
            <v>Manttra - Granumax 2.15 50 Kg</v>
          </cell>
          <cell r="C212">
            <v>0</v>
          </cell>
          <cell r="D212" t="str">
            <v/>
          </cell>
          <cell r="E212" t="str">
            <v/>
          </cell>
        </row>
        <row r="213">
          <cell r="A213" t="str">
            <v>'4000100373</v>
          </cell>
          <cell r="B213" t="str">
            <v>YARAMILA COMPLEX 45KG</v>
          </cell>
          <cell r="C213">
            <v>0</v>
          </cell>
          <cell r="D213" t="str">
            <v/>
          </cell>
          <cell r="E213" t="str">
            <v/>
          </cell>
        </row>
        <row r="214">
          <cell r="A214" t="str">
            <v>'4000100456</v>
          </cell>
          <cell r="B214" t="str">
            <v>Mf 12.6-32.2-18 con Nitro xtend 45 Kg</v>
          </cell>
          <cell r="C214">
            <v>0</v>
          </cell>
          <cell r="D214" t="str">
            <v/>
          </cell>
          <cell r="E214" t="str">
            <v/>
          </cell>
        </row>
        <row r="215">
          <cell r="A215" t="str">
            <v>'4000100488</v>
          </cell>
          <cell r="B215" t="str">
            <v>Jiffy Pellet Horticola 42*75 - 70 CJ840</v>
          </cell>
          <cell r="C215">
            <v>0</v>
          </cell>
          <cell r="D215" t="str">
            <v/>
          </cell>
          <cell r="E215" t="str">
            <v/>
          </cell>
        </row>
        <row r="216">
          <cell r="A216" t="str">
            <v>'4000100591</v>
          </cell>
          <cell r="B216" t="str">
            <v>Bio-Tri Max 3 WP x 500 G</v>
          </cell>
          <cell r="C216">
            <v>0</v>
          </cell>
          <cell r="D216" t="str">
            <v/>
          </cell>
          <cell r="E216" t="str">
            <v/>
          </cell>
        </row>
        <row r="217">
          <cell r="D217" t="str">
            <v/>
          </cell>
        </row>
        <row r="218">
          <cell r="D218" t="str">
            <v/>
          </cell>
        </row>
        <row r="219">
          <cell r="D219" t="str">
            <v/>
          </cell>
        </row>
        <row r="220">
          <cell r="D220" t="str">
            <v/>
          </cell>
        </row>
        <row r="221">
          <cell r="D221" t="str">
            <v/>
          </cell>
        </row>
        <row r="222">
          <cell r="D222" t="str">
            <v/>
          </cell>
        </row>
        <row r="223">
          <cell r="D223" t="str">
            <v/>
          </cell>
        </row>
        <row r="224">
          <cell r="D224" t="str">
            <v/>
          </cell>
        </row>
        <row r="225">
          <cell r="D225" t="str">
            <v/>
          </cell>
        </row>
        <row r="226">
          <cell r="D226" t="str">
            <v/>
          </cell>
        </row>
        <row r="227">
          <cell r="D227" t="str">
            <v/>
          </cell>
        </row>
        <row r="228">
          <cell r="D228" t="str">
            <v/>
          </cell>
        </row>
        <row r="229">
          <cell r="D229" t="str">
            <v/>
          </cell>
        </row>
        <row r="230">
          <cell r="D230" t="str">
            <v/>
          </cell>
        </row>
        <row r="231">
          <cell r="D231" t="str">
            <v/>
          </cell>
        </row>
        <row r="232">
          <cell r="D232" t="str">
            <v/>
          </cell>
        </row>
        <row r="233">
          <cell r="D233" t="str">
            <v/>
          </cell>
        </row>
        <row r="234">
          <cell r="D234" t="str">
            <v/>
          </cell>
        </row>
        <row r="235">
          <cell r="D235" t="str">
            <v/>
          </cell>
        </row>
        <row r="236">
          <cell r="D236" t="str">
            <v/>
          </cell>
        </row>
        <row r="237">
          <cell r="D237" t="str">
            <v/>
          </cell>
        </row>
        <row r="238">
          <cell r="D238" t="str">
            <v/>
          </cell>
        </row>
        <row r="239">
          <cell r="D239" t="str">
            <v/>
          </cell>
        </row>
        <row r="240">
          <cell r="D240" t="str">
            <v/>
          </cell>
        </row>
        <row r="241">
          <cell r="D241" t="str">
            <v/>
          </cell>
        </row>
        <row r="242">
          <cell r="D242" t="str">
            <v/>
          </cell>
        </row>
        <row r="243">
          <cell r="D243" t="str">
            <v/>
          </cell>
        </row>
        <row r="244">
          <cell r="D244" t="str">
            <v/>
          </cell>
        </row>
        <row r="245">
          <cell r="D245" t="str">
            <v/>
          </cell>
        </row>
        <row r="246">
          <cell r="D246" t="str">
            <v/>
          </cell>
        </row>
        <row r="247">
          <cell r="D247" t="str">
            <v/>
          </cell>
        </row>
        <row r="248">
          <cell r="D248" t="str">
            <v/>
          </cell>
        </row>
        <row r="249">
          <cell r="D249" t="str">
            <v/>
          </cell>
        </row>
        <row r="250">
          <cell r="D250" t="str">
            <v/>
          </cell>
        </row>
        <row r="251">
          <cell r="D251" t="str">
            <v/>
          </cell>
        </row>
        <row r="252">
          <cell r="D252" t="str">
            <v/>
          </cell>
        </row>
        <row r="253">
          <cell r="D253" t="str">
            <v/>
          </cell>
        </row>
        <row r="254">
          <cell r="D254" t="str">
            <v/>
          </cell>
        </row>
        <row r="255">
          <cell r="D255" t="str">
            <v/>
          </cell>
        </row>
        <row r="256">
          <cell r="D256" t="str">
            <v/>
          </cell>
        </row>
        <row r="257">
          <cell r="D257" t="str">
            <v/>
          </cell>
        </row>
        <row r="258">
          <cell r="D258" t="str">
            <v/>
          </cell>
        </row>
        <row r="259">
          <cell r="D259" t="str">
            <v/>
          </cell>
        </row>
        <row r="260">
          <cell r="D260" t="str">
            <v/>
          </cell>
        </row>
        <row r="261">
          <cell r="D261" t="str">
            <v/>
          </cell>
        </row>
        <row r="262">
          <cell r="D262" t="str">
            <v/>
          </cell>
        </row>
        <row r="263">
          <cell r="D263" t="str">
            <v/>
          </cell>
        </row>
        <row r="264">
          <cell r="D264" t="str">
            <v/>
          </cell>
        </row>
        <row r="265">
          <cell r="D265" t="str">
            <v/>
          </cell>
        </row>
        <row r="266">
          <cell r="D266" t="str">
            <v/>
          </cell>
        </row>
        <row r="267">
          <cell r="D267" t="str">
            <v/>
          </cell>
        </row>
        <row r="268">
          <cell r="D268" t="str">
            <v/>
          </cell>
        </row>
        <row r="269">
          <cell r="D269" t="str">
            <v/>
          </cell>
        </row>
        <row r="270">
          <cell r="D270" t="str">
            <v/>
          </cell>
        </row>
        <row r="271">
          <cell r="D271" t="str">
            <v/>
          </cell>
        </row>
        <row r="272">
          <cell r="D272" t="str">
            <v/>
          </cell>
        </row>
        <row r="273">
          <cell r="D273" t="str">
            <v/>
          </cell>
        </row>
        <row r="274">
          <cell r="D274" t="str">
            <v/>
          </cell>
        </row>
        <row r="275">
          <cell r="D275" t="str">
            <v/>
          </cell>
        </row>
        <row r="276">
          <cell r="D276" t="str">
            <v/>
          </cell>
        </row>
        <row r="277">
          <cell r="D277" t="str">
            <v/>
          </cell>
        </row>
        <row r="278">
          <cell r="D278" t="str">
            <v/>
          </cell>
        </row>
        <row r="279">
          <cell r="D279" t="str">
            <v/>
          </cell>
        </row>
        <row r="280">
          <cell r="D280" t="str">
            <v/>
          </cell>
        </row>
        <row r="281">
          <cell r="D281" t="str">
            <v/>
          </cell>
        </row>
        <row r="282">
          <cell r="D282" t="str">
            <v/>
          </cell>
        </row>
        <row r="283">
          <cell r="D283" t="str">
            <v/>
          </cell>
        </row>
        <row r="284">
          <cell r="D284" t="str">
            <v/>
          </cell>
        </row>
        <row r="285">
          <cell r="D285" t="str">
            <v/>
          </cell>
        </row>
        <row r="286">
          <cell r="D286" t="str">
            <v/>
          </cell>
        </row>
        <row r="287">
          <cell r="D287" t="str">
            <v/>
          </cell>
        </row>
        <row r="288">
          <cell r="D288" t="str">
            <v/>
          </cell>
        </row>
        <row r="289">
          <cell r="D289" t="str">
            <v/>
          </cell>
        </row>
        <row r="290">
          <cell r="D290" t="str">
            <v/>
          </cell>
        </row>
        <row r="291">
          <cell r="D291" t="str">
            <v/>
          </cell>
        </row>
        <row r="292">
          <cell r="D292" t="str">
            <v/>
          </cell>
        </row>
        <row r="293">
          <cell r="D293" t="str">
            <v/>
          </cell>
        </row>
        <row r="294">
          <cell r="D294" t="str">
            <v/>
          </cell>
        </row>
        <row r="295">
          <cell r="D295" t="str">
            <v/>
          </cell>
        </row>
        <row r="296">
          <cell r="D296" t="str">
            <v/>
          </cell>
        </row>
        <row r="297">
          <cell r="D297" t="str">
            <v/>
          </cell>
        </row>
        <row r="298">
          <cell r="D298" t="str">
            <v/>
          </cell>
        </row>
        <row r="299">
          <cell r="D299" t="str">
            <v/>
          </cell>
        </row>
        <row r="300">
          <cell r="D300" t="str">
            <v/>
          </cell>
        </row>
        <row r="301">
          <cell r="D301" t="str">
            <v/>
          </cell>
        </row>
        <row r="302">
          <cell r="D302" t="str">
            <v/>
          </cell>
        </row>
        <row r="303">
          <cell r="D303" t="str">
            <v/>
          </cell>
        </row>
        <row r="304">
          <cell r="D304" t="str">
            <v/>
          </cell>
        </row>
        <row r="305">
          <cell r="D305" t="str">
            <v/>
          </cell>
        </row>
        <row r="306">
          <cell r="D306" t="str">
            <v/>
          </cell>
        </row>
        <row r="307">
          <cell r="D307" t="str">
            <v/>
          </cell>
        </row>
        <row r="308">
          <cell r="D308" t="str">
            <v/>
          </cell>
        </row>
        <row r="309">
          <cell r="D309" t="str">
            <v/>
          </cell>
        </row>
        <row r="310">
          <cell r="D310" t="str">
            <v/>
          </cell>
        </row>
        <row r="311">
          <cell r="D311" t="str">
            <v/>
          </cell>
        </row>
        <row r="312">
          <cell r="D312" t="str">
            <v/>
          </cell>
        </row>
        <row r="313">
          <cell r="D313" t="str">
            <v/>
          </cell>
        </row>
        <row r="314">
          <cell r="D314" t="str">
            <v/>
          </cell>
        </row>
        <row r="315">
          <cell r="D315" t="str">
            <v/>
          </cell>
        </row>
        <row r="316">
          <cell r="D316" t="str">
            <v/>
          </cell>
        </row>
        <row r="317">
          <cell r="D317" t="str">
            <v/>
          </cell>
        </row>
        <row r="318">
          <cell r="D318" t="str">
            <v/>
          </cell>
        </row>
        <row r="319">
          <cell r="D319" t="str">
            <v/>
          </cell>
        </row>
        <row r="320">
          <cell r="D320" t="str">
            <v/>
          </cell>
        </row>
        <row r="321">
          <cell r="D321" t="str">
            <v/>
          </cell>
        </row>
        <row r="322">
          <cell r="D322" t="str">
            <v/>
          </cell>
        </row>
        <row r="323">
          <cell r="D323" t="str">
            <v/>
          </cell>
        </row>
        <row r="324">
          <cell r="D324" t="str">
            <v/>
          </cell>
        </row>
        <row r="325">
          <cell r="D325" t="str">
            <v/>
          </cell>
        </row>
        <row r="326">
          <cell r="D326" t="str">
            <v/>
          </cell>
        </row>
        <row r="327">
          <cell r="D327" t="str">
            <v/>
          </cell>
        </row>
        <row r="328">
          <cell r="D328" t="str">
            <v/>
          </cell>
        </row>
        <row r="329">
          <cell r="D329" t="str">
            <v/>
          </cell>
        </row>
        <row r="330">
          <cell r="D330" t="str">
            <v/>
          </cell>
        </row>
        <row r="331">
          <cell r="D331" t="str">
            <v/>
          </cell>
        </row>
        <row r="332">
          <cell r="D332" t="str">
            <v/>
          </cell>
        </row>
        <row r="333">
          <cell r="D333" t="str">
            <v/>
          </cell>
        </row>
        <row r="334">
          <cell r="D334" t="str">
            <v/>
          </cell>
        </row>
        <row r="335">
          <cell r="D335" t="str">
            <v/>
          </cell>
        </row>
        <row r="336">
          <cell r="D336" t="str">
            <v/>
          </cell>
        </row>
        <row r="337">
          <cell r="D337" t="str">
            <v/>
          </cell>
        </row>
        <row r="338">
          <cell r="D338" t="str">
            <v/>
          </cell>
        </row>
        <row r="339">
          <cell r="D339" t="str">
            <v/>
          </cell>
        </row>
        <row r="340">
          <cell r="D340" t="str">
            <v/>
          </cell>
        </row>
        <row r="341">
          <cell r="D341" t="str">
            <v/>
          </cell>
        </row>
        <row r="342">
          <cell r="D342" t="str">
            <v/>
          </cell>
        </row>
        <row r="343">
          <cell r="D343" t="str">
            <v/>
          </cell>
        </row>
        <row r="344">
          <cell r="D344" t="str">
            <v/>
          </cell>
        </row>
        <row r="345">
          <cell r="D345" t="str">
            <v/>
          </cell>
        </row>
        <row r="346">
          <cell r="D346" t="str">
            <v/>
          </cell>
        </row>
        <row r="347">
          <cell r="D347" t="str">
            <v/>
          </cell>
        </row>
        <row r="348">
          <cell r="D348" t="str">
            <v/>
          </cell>
        </row>
        <row r="349">
          <cell r="D349" t="str">
            <v/>
          </cell>
        </row>
        <row r="350">
          <cell r="D350" t="str">
            <v/>
          </cell>
        </row>
        <row r="351">
          <cell r="D351" t="str">
            <v/>
          </cell>
        </row>
        <row r="352">
          <cell r="D352" t="str">
            <v/>
          </cell>
        </row>
        <row r="353">
          <cell r="D353" t="str">
            <v/>
          </cell>
        </row>
        <row r="354">
          <cell r="D354" t="str">
            <v/>
          </cell>
        </row>
        <row r="355">
          <cell r="D355" t="str">
            <v/>
          </cell>
        </row>
        <row r="356">
          <cell r="D356" t="str">
            <v/>
          </cell>
        </row>
        <row r="357">
          <cell r="D357" t="str">
            <v/>
          </cell>
        </row>
        <row r="358">
          <cell r="D358" t="str">
            <v/>
          </cell>
        </row>
        <row r="359">
          <cell r="D359" t="str">
            <v/>
          </cell>
        </row>
        <row r="360">
          <cell r="D360" t="str">
            <v/>
          </cell>
        </row>
        <row r="361">
          <cell r="D361" t="str">
            <v/>
          </cell>
        </row>
        <row r="362">
          <cell r="D362" t="str">
            <v/>
          </cell>
        </row>
        <row r="363">
          <cell r="D363" t="str">
            <v/>
          </cell>
        </row>
        <row r="364">
          <cell r="D364" t="str">
            <v/>
          </cell>
        </row>
        <row r="365">
          <cell r="D365" t="str">
            <v/>
          </cell>
        </row>
        <row r="366">
          <cell r="D366" t="str">
            <v/>
          </cell>
        </row>
        <row r="367">
          <cell r="D367" t="str">
            <v/>
          </cell>
        </row>
        <row r="368">
          <cell r="D368" t="str">
            <v/>
          </cell>
        </row>
        <row r="369">
          <cell r="D369" t="str">
            <v/>
          </cell>
        </row>
        <row r="370">
          <cell r="D370" t="str">
            <v/>
          </cell>
        </row>
        <row r="371">
          <cell r="D371" t="str">
            <v/>
          </cell>
        </row>
        <row r="372">
          <cell r="D372" t="str">
            <v/>
          </cell>
        </row>
        <row r="373">
          <cell r="D373" t="str">
            <v/>
          </cell>
        </row>
        <row r="374">
          <cell r="D374" t="str">
            <v/>
          </cell>
        </row>
        <row r="375">
          <cell r="D375" t="str">
            <v/>
          </cell>
        </row>
        <row r="376">
          <cell r="D376" t="str">
            <v/>
          </cell>
        </row>
        <row r="377">
          <cell r="D377" t="str">
            <v/>
          </cell>
        </row>
        <row r="378">
          <cell r="D378" t="str">
            <v/>
          </cell>
        </row>
        <row r="379">
          <cell r="D379" t="str">
            <v/>
          </cell>
        </row>
        <row r="380">
          <cell r="D380" t="str">
            <v/>
          </cell>
        </row>
        <row r="381">
          <cell r="D381" t="str">
            <v/>
          </cell>
        </row>
        <row r="382">
          <cell r="D382" t="str">
            <v/>
          </cell>
        </row>
        <row r="383">
          <cell r="D383" t="str">
            <v/>
          </cell>
        </row>
        <row r="384">
          <cell r="D384" t="str">
            <v/>
          </cell>
        </row>
        <row r="385">
          <cell r="D385" t="str">
            <v/>
          </cell>
        </row>
        <row r="386">
          <cell r="D386" t="str">
            <v/>
          </cell>
        </row>
        <row r="387">
          <cell r="D387" t="str">
            <v/>
          </cell>
        </row>
        <row r="388">
          <cell r="D388" t="str">
            <v/>
          </cell>
        </row>
        <row r="389">
          <cell r="D389" t="str">
            <v/>
          </cell>
        </row>
        <row r="390">
          <cell r="D390" t="str">
            <v/>
          </cell>
        </row>
        <row r="391">
          <cell r="D391" t="str">
            <v/>
          </cell>
        </row>
        <row r="392">
          <cell r="D392" t="str">
            <v/>
          </cell>
        </row>
        <row r="393">
          <cell r="D393" t="str">
            <v/>
          </cell>
        </row>
        <row r="394">
          <cell r="D394" t="str">
            <v/>
          </cell>
        </row>
        <row r="395">
          <cell r="D395" t="str">
            <v/>
          </cell>
        </row>
        <row r="396">
          <cell r="D396" t="str">
            <v/>
          </cell>
        </row>
        <row r="397">
          <cell r="D397" t="str">
            <v/>
          </cell>
        </row>
        <row r="398">
          <cell r="D398" t="str">
            <v/>
          </cell>
        </row>
        <row r="399">
          <cell r="D399" t="str">
            <v/>
          </cell>
        </row>
        <row r="400">
          <cell r="D400" t="str">
            <v/>
          </cell>
        </row>
        <row r="401">
          <cell r="D401" t="str">
            <v/>
          </cell>
        </row>
        <row r="402">
          <cell r="D402" t="str">
            <v/>
          </cell>
        </row>
        <row r="403">
          <cell r="D403" t="str">
            <v/>
          </cell>
        </row>
        <row r="404">
          <cell r="D404" t="str">
            <v/>
          </cell>
        </row>
        <row r="405">
          <cell r="D405" t="str">
            <v/>
          </cell>
        </row>
        <row r="406">
          <cell r="D406" t="str">
            <v/>
          </cell>
        </row>
        <row r="407">
          <cell r="D407" t="str">
            <v/>
          </cell>
        </row>
        <row r="408">
          <cell r="D408" t="str">
            <v/>
          </cell>
        </row>
        <row r="409">
          <cell r="D409" t="str">
            <v/>
          </cell>
        </row>
        <row r="410">
          <cell r="D410" t="str">
            <v/>
          </cell>
        </row>
        <row r="411">
          <cell r="D411" t="str">
            <v/>
          </cell>
        </row>
        <row r="412">
          <cell r="D412" t="str">
            <v/>
          </cell>
        </row>
        <row r="413">
          <cell r="D413" t="str">
            <v/>
          </cell>
        </row>
        <row r="414">
          <cell r="D414" t="str">
            <v/>
          </cell>
        </row>
        <row r="415">
          <cell r="D415" t="str">
            <v/>
          </cell>
        </row>
        <row r="416">
          <cell r="D416" t="str">
            <v/>
          </cell>
        </row>
        <row r="417">
          <cell r="D417" t="str">
            <v/>
          </cell>
        </row>
        <row r="418">
          <cell r="D418" t="str">
            <v/>
          </cell>
        </row>
        <row r="419">
          <cell r="D419" t="str">
            <v/>
          </cell>
        </row>
        <row r="420">
          <cell r="D420" t="str">
            <v/>
          </cell>
        </row>
        <row r="421">
          <cell r="D421" t="str">
            <v/>
          </cell>
        </row>
        <row r="422">
          <cell r="D422" t="str">
            <v/>
          </cell>
        </row>
        <row r="423">
          <cell r="D423" t="str">
            <v/>
          </cell>
        </row>
        <row r="424">
          <cell r="D424" t="str">
            <v/>
          </cell>
        </row>
        <row r="425">
          <cell r="D425" t="str">
            <v/>
          </cell>
        </row>
        <row r="426">
          <cell r="D426" t="str">
            <v/>
          </cell>
        </row>
        <row r="427">
          <cell r="D427" t="str">
            <v/>
          </cell>
        </row>
        <row r="428">
          <cell r="D428" t="str">
            <v/>
          </cell>
        </row>
        <row r="429">
          <cell r="D429" t="str">
            <v/>
          </cell>
        </row>
        <row r="430">
          <cell r="D430" t="str">
            <v/>
          </cell>
        </row>
        <row r="431">
          <cell r="D431" t="str">
            <v/>
          </cell>
        </row>
        <row r="432">
          <cell r="D432" t="str">
            <v/>
          </cell>
        </row>
        <row r="433">
          <cell r="D433" t="str">
            <v/>
          </cell>
        </row>
        <row r="434">
          <cell r="D434" t="str">
            <v/>
          </cell>
        </row>
        <row r="435">
          <cell r="D435" t="str">
            <v/>
          </cell>
        </row>
        <row r="436">
          <cell r="D436" t="str">
            <v/>
          </cell>
        </row>
        <row r="437">
          <cell r="D437" t="str">
            <v/>
          </cell>
        </row>
        <row r="438">
          <cell r="D438" t="str">
            <v/>
          </cell>
        </row>
        <row r="439">
          <cell r="D439" t="str">
            <v/>
          </cell>
        </row>
        <row r="440">
          <cell r="D440" t="str">
            <v/>
          </cell>
        </row>
        <row r="441">
          <cell r="D441" t="str">
            <v/>
          </cell>
        </row>
        <row r="442">
          <cell r="D442" t="str">
            <v/>
          </cell>
        </row>
        <row r="443">
          <cell r="D443" t="str">
            <v/>
          </cell>
        </row>
        <row r="444">
          <cell r="D444" t="str">
            <v/>
          </cell>
        </row>
        <row r="445">
          <cell r="D445" t="str">
            <v/>
          </cell>
        </row>
        <row r="446">
          <cell r="D446" t="str">
            <v/>
          </cell>
        </row>
        <row r="447">
          <cell r="D447" t="str">
            <v/>
          </cell>
        </row>
        <row r="448">
          <cell r="D448" t="str">
            <v/>
          </cell>
        </row>
        <row r="449">
          <cell r="D449" t="str">
            <v/>
          </cell>
        </row>
      </sheetData>
      <sheetData sheetId="2"/>
      <sheetData sheetId="3"/>
      <sheetData sheetId="4"/>
      <sheetData sheetId="5">
        <row r="2">
          <cell r="A2" t="str">
            <v>'MQU631</v>
          </cell>
          <cell r="B2" t="str">
            <v>ACIDO FOSFORICO (CARBOYA 35 KG)</v>
          </cell>
          <cell r="C2">
            <v>87.4</v>
          </cell>
          <cell r="D2">
            <v>91.2</v>
          </cell>
          <cell r="E2">
            <v>95</v>
          </cell>
          <cell r="F2">
            <v>1</v>
          </cell>
        </row>
        <row r="3">
          <cell r="A3" t="str">
            <v>'MQU631-1</v>
          </cell>
          <cell r="B3" t="str">
            <v>ACIDO FOSFORICO (GALON)</v>
          </cell>
          <cell r="C3">
            <v>24.96</v>
          </cell>
          <cell r="D3">
            <v>27.04</v>
          </cell>
          <cell r="E3">
            <v>29.12</v>
          </cell>
          <cell r="F3">
            <v>7</v>
          </cell>
        </row>
        <row r="4">
          <cell r="A4" t="str">
            <v>'4000100532</v>
          </cell>
          <cell r="B4" t="str">
            <v>AZUFERTIL AH10 50KG</v>
          </cell>
          <cell r="C4">
            <v>48</v>
          </cell>
          <cell r="D4">
            <v>50</v>
          </cell>
          <cell r="E4">
            <v>51</v>
          </cell>
          <cell r="F4">
            <v>1040</v>
          </cell>
        </row>
        <row r="5">
          <cell r="A5" t="str">
            <v>'4000100595</v>
          </cell>
          <cell r="B5" t="str">
            <v>BIO-PACEL 10WP  1KG</v>
          </cell>
          <cell r="C5">
            <v>86.4</v>
          </cell>
          <cell r="D5">
            <v>90</v>
          </cell>
          <cell r="E5">
            <v>93.6</v>
          </cell>
          <cell r="F5">
            <v>79</v>
          </cell>
        </row>
        <row r="6">
          <cell r="A6" t="str">
            <v>'4000100605</v>
          </cell>
          <cell r="B6" t="str">
            <v>BIO-PACEL 10WP  250G</v>
          </cell>
          <cell r="C6">
            <v>25.88</v>
          </cell>
          <cell r="D6">
            <v>26.91</v>
          </cell>
          <cell r="E6">
            <v>27.95</v>
          </cell>
          <cell r="F6">
            <v>38</v>
          </cell>
        </row>
        <row r="7">
          <cell r="A7" t="str">
            <v>'4000100602</v>
          </cell>
          <cell r="B7" t="str">
            <v>BIO-TRI MAX 3 WP 250G</v>
          </cell>
          <cell r="C7">
            <v>22.88</v>
          </cell>
          <cell r="D7">
            <v>23.79</v>
          </cell>
          <cell r="E7">
            <v>24.71</v>
          </cell>
          <cell r="F7">
            <v>21</v>
          </cell>
        </row>
        <row r="8">
          <cell r="A8" t="str">
            <v>'4000100479</v>
          </cell>
          <cell r="B8" t="str">
            <v>BRANDT  SMART TRIO 10L</v>
          </cell>
          <cell r="C8">
            <v>70</v>
          </cell>
          <cell r="D8">
            <v>70</v>
          </cell>
          <cell r="E8">
            <v>77</v>
          </cell>
          <cell r="F8">
            <v>257</v>
          </cell>
        </row>
        <row r="9">
          <cell r="A9" t="str">
            <v>'4000100443</v>
          </cell>
          <cell r="B9" t="str">
            <v>BRANDT  SMART TRIO 1L</v>
          </cell>
          <cell r="C9">
            <v>7</v>
          </cell>
          <cell r="D9">
            <v>7</v>
          </cell>
          <cell r="E9">
            <v>7.7</v>
          </cell>
          <cell r="F9">
            <v>457</v>
          </cell>
        </row>
        <row r="10">
          <cell r="A10" t="str">
            <v>'4000100480</v>
          </cell>
          <cell r="B10" t="str">
            <v>BRANDT ENZUP PDS 10KG</v>
          </cell>
          <cell r="C10">
            <v>115.91</v>
          </cell>
          <cell r="D10">
            <v>123.63</v>
          </cell>
          <cell r="E10">
            <v>139.09</v>
          </cell>
          <cell r="F10">
            <v>76</v>
          </cell>
        </row>
        <row r="11">
          <cell r="A11" t="str">
            <v>'4000100445</v>
          </cell>
          <cell r="B11" t="str">
            <v>BRANDT ENZUP ZN 1L</v>
          </cell>
          <cell r="C11">
            <v>10</v>
          </cell>
          <cell r="D11">
            <v>10</v>
          </cell>
          <cell r="E11">
            <v>11</v>
          </cell>
          <cell r="F11">
            <v>353</v>
          </cell>
        </row>
        <row r="12">
          <cell r="A12" t="str">
            <v>'4000100417</v>
          </cell>
          <cell r="B12" t="str">
            <v>BRANDT MANNI PLEX B-MOLY 10L</v>
          </cell>
          <cell r="C12">
            <v>70</v>
          </cell>
          <cell r="D12">
            <v>70</v>
          </cell>
          <cell r="E12">
            <v>77</v>
          </cell>
          <cell r="F12">
            <v>182</v>
          </cell>
        </row>
        <row r="13">
          <cell r="A13" t="str">
            <v>'4000100416</v>
          </cell>
          <cell r="B13" t="str">
            <v>BRANDT MANNI PLEX B-MOLY 1L</v>
          </cell>
          <cell r="C13">
            <v>7</v>
          </cell>
          <cell r="D13">
            <v>7</v>
          </cell>
          <cell r="E13">
            <v>7.7</v>
          </cell>
          <cell r="F13">
            <v>63</v>
          </cell>
        </row>
        <row r="14">
          <cell r="A14" t="str">
            <v>'4000100413</v>
          </cell>
          <cell r="B14" t="str">
            <v>BRANDT MANNI PLEX CA 10L</v>
          </cell>
          <cell r="C14">
            <v>70</v>
          </cell>
          <cell r="D14">
            <v>70</v>
          </cell>
          <cell r="E14">
            <v>77</v>
          </cell>
          <cell r="F14">
            <v>211</v>
          </cell>
        </row>
        <row r="15">
          <cell r="A15" t="str">
            <v>'4000100412</v>
          </cell>
          <cell r="B15" t="str">
            <v>BRANDT MANNI PLEX CA 1L</v>
          </cell>
          <cell r="C15">
            <v>7</v>
          </cell>
          <cell r="D15">
            <v>7</v>
          </cell>
          <cell r="E15">
            <v>7.7</v>
          </cell>
          <cell r="F15">
            <v>522</v>
          </cell>
        </row>
        <row r="16">
          <cell r="A16" t="str">
            <v>'4000100516</v>
          </cell>
          <cell r="B16" t="str">
            <v>BRANDT MANNI PLEX CAL-B 10L</v>
          </cell>
          <cell r="C16">
            <v>77.900000000000006</v>
          </cell>
          <cell r="D16">
            <v>83.09</v>
          </cell>
          <cell r="E16">
            <v>93.47</v>
          </cell>
          <cell r="F16">
            <v>179</v>
          </cell>
        </row>
        <row r="17">
          <cell r="A17" t="str">
            <v>'4000100447</v>
          </cell>
          <cell r="B17" t="str">
            <v>BRANDT MANNI PLEX CAL-B 1L</v>
          </cell>
          <cell r="C17">
            <v>10.4</v>
          </cell>
          <cell r="D17">
            <v>11.09</v>
          </cell>
          <cell r="E17">
            <v>12.47</v>
          </cell>
          <cell r="F17">
            <v>357</v>
          </cell>
        </row>
        <row r="18">
          <cell r="A18" t="str">
            <v>'4000100517</v>
          </cell>
          <cell r="B18" t="str">
            <v>BRANDT MANNI PLEX CAL-MAG 10L</v>
          </cell>
          <cell r="C18">
            <v>83.22</v>
          </cell>
          <cell r="D18">
            <v>88.77</v>
          </cell>
          <cell r="E18">
            <v>99.86</v>
          </cell>
          <cell r="F18">
            <v>153</v>
          </cell>
        </row>
        <row r="19">
          <cell r="A19" t="str">
            <v>'4000100450</v>
          </cell>
          <cell r="B19" t="str">
            <v>BRANDT MANNI PLEX CAL-MAG 1L</v>
          </cell>
          <cell r="C19">
            <v>11.37</v>
          </cell>
          <cell r="D19">
            <v>12.13</v>
          </cell>
          <cell r="E19">
            <v>13.64</v>
          </cell>
          <cell r="F19">
            <v>1107</v>
          </cell>
        </row>
        <row r="20">
          <cell r="A20" t="str">
            <v>'4000100515</v>
          </cell>
          <cell r="B20" t="str">
            <v>BRANDT MANNI PLEX CAL-ZN 10L</v>
          </cell>
          <cell r="C20">
            <v>78.86</v>
          </cell>
          <cell r="D20">
            <v>84.11</v>
          </cell>
          <cell r="E20">
            <v>94.63</v>
          </cell>
          <cell r="F20">
            <v>160</v>
          </cell>
        </row>
        <row r="21">
          <cell r="A21" t="str">
            <v>'4000100446</v>
          </cell>
          <cell r="B21" t="str">
            <v>BRANDT MANNI PLEX CAL-ZN 1L</v>
          </cell>
          <cell r="C21">
            <v>11.49</v>
          </cell>
          <cell r="D21">
            <v>12.26</v>
          </cell>
          <cell r="E21">
            <v>13.79</v>
          </cell>
          <cell r="F21">
            <v>225</v>
          </cell>
        </row>
        <row r="22">
          <cell r="A22" t="str">
            <v>'4000100415</v>
          </cell>
          <cell r="B22" t="str">
            <v>BRANDT MANNI PLEX K 10L</v>
          </cell>
          <cell r="C22">
            <v>70</v>
          </cell>
          <cell r="D22">
            <v>70</v>
          </cell>
          <cell r="E22">
            <v>77</v>
          </cell>
          <cell r="F22">
            <v>198</v>
          </cell>
        </row>
        <row r="23">
          <cell r="A23" t="str">
            <v>'4000100414</v>
          </cell>
          <cell r="B23" t="str">
            <v>BRANDT MANNI PLEX K 1L</v>
          </cell>
          <cell r="C23">
            <v>7</v>
          </cell>
          <cell r="D23">
            <v>7</v>
          </cell>
          <cell r="E23">
            <v>7.7</v>
          </cell>
          <cell r="F23">
            <v>147</v>
          </cell>
        </row>
        <row r="24">
          <cell r="A24" t="str">
            <v>'4000100320</v>
          </cell>
          <cell r="B24" t="str">
            <v>BRANDT MANNI PLEX MG 1 L</v>
          </cell>
          <cell r="C24">
            <v>7</v>
          </cell>
          <cell r="D24">
            <v>7</v>
          </cell>
          <cell r="E24">
            <v>7.7</v>
          </cell>
          <cell r="F24">
            <v>10</v>
          </cell>
        </row>
        <row r="25">
          <cell r="A25" t="str">
            <v>'4000100449</v>
          </cell>
          <cell r="B25" t="str">
            <v>BRANDT MANNI PLEX MN 1L</v>
          </cell>
          <cell r="C25">
            <v>9.1</v>
          </cell>
          <cell r="D25">
            <v>9.8000000000000007</v>
          </cell>
          <cell r="E25">
            <v>11.2</v>
          </cell>
          <cell r="F25">
            <v>1055</v>
          </cell>
        </row>
        <row r="26">
          <cell r="A26" t="str">
            <v>'4000100411</v>
          </cell>
          <cell r="B26" t="str">
            <v>BRANDT MANNI PLEX MULTIMINERAL 10L</v>
          </cell>
          <cell r="C26">
            <v>70</v>
          </cell>
          <cell r="D26">
            <v>70</v>
          </cell>
          <cell r="E26">
            <v>77</v>
          </cell>
          <cell r="F26">
            <v>313</v>
          </cell>
        </row>
        <row r="27">
          <cell r="A27" t="str">
            <v>'4000100477</v>
          </cell>
          <cell r="B27" t="str">
            <v>BRANDT MANNI PLEX MULTIMINERAL 1L</v>
          </cell>
          <cell r="C27">
            <v>7</v>
          </cell>
          <cell r="D27">
            <v>7</v>
          </cell>
          <cell r="E27">
            <v>7.7</v>
          </cell>
          <cell r="F27">
            <v>16</v>
          </cell>
        </row>
        <row r="28">
          <cell r="A28" t="str">
            <v>'4000100322</v>
          </cell>
          <cell r="B28" t="str">
            <v>BRANDT MANNI PLEX N-BORON 1 L</v>
          </cell>
          <cell r="C28">
            <v>7</v>
          </cell>
          <cell r="D28">
            <v>7</v>
          </cell>
          <cell r="E28">
            <v>7.7</v>
          </cell>
          <cell r="F28">
            <v>460</v>
          </cell>
        </row>
        <row r="29">
          <cell r="A29" t="str">
            <v>'4000100333</v>
          </cell>
          <cell r="B29" t="str">
            <v>BRANDT MANNI PLEX N-BORON 10 L</v>
          </cell>
          <cell r="C29">
            <v>70</v>
          </cell>
          <cell r="D29">
            <v>70</v>
          </cell>
          <cell r="E29">
            <v>77</v>
          </cell>
          <cell r="F29">
            <v>107</v>
          </cell>
        </row>
        <row r="30">
          <cell r="A30" t="str">
            <v>'4000100319</v>
          </cell>
          <cell r="B30" t="str">
            <v>BRANDT MANNI PLEX PLANT START 8-31-4  1 L</v>
          </cell>
          <cell r="C30">
            <v>11.18</v>
          </cell>
          <cell r="D30">
            <v>11.92</v>
          </cell>
          <cell r="E30">
            <v>13.41</v>
          </cell>
          <cell r="F30">
            <v>967</v>
          </cell>
        </row>
        <row r="31">
          <cell r="A31" t="str">
            <v>'4000100330</v>
          </cell>
          <cell r="B31" t="str">
            <v>BRANDT MANNI PLEX PLANT START 8-31-4 10 L</v>
          </cell>
          <cell r="C31">
            <v>79.11</v>
          </cell>
          <cell r="D31">
            <v>84.38</v>
          </cell>
          <cell r="E31">
            <v>94.93</v>
          </cell>
          <cell r="F31">
            <v>431</v>
          </cell>
        </row>
        <row r="32">
          <cell r="A32" t="str">
            <v>'4000100448</v>
          </cell>
          <cell r="B32" t="str">
            <v>BRANDT MANNI PLEX SI 1L</v>
          </cell>
          <cell r="C32">
            <v>26.18</v>
          </cell>
          <cell r="D32">
            <v>27.92</v>
          </cell>
          <cell r="E32">
            <v>31.41</v>
          </cell>
          <cell r="F32">
            <v>399</v>
          </cell>
        </row>
        <row r="33">
          <cell r="A33" t="str">
            <v>'4000100321</v>
          </cell>
          <cell r="B33" t="str">
            <v>BRANDT MANNI PLEX ZN 1 L</v>
          </cell>
          <cell r="C33">
            <v>7</v>
          </cell>
          <cell r="D33">
            <v>7</v>
          </cell>
          <cell r="E33">
            <v>7.7</v>
          </cell>
          <cell r="F33">
            <v>861</v>
          </cell>
        </row>
        <row r="34">
          <cell r="A34" t="str">
            <v>'4000100332</v>
          </cell>
          <cell r="B34" t="str">
            <v>BRANDT MANNI PLEX ZN 10 L</v>
          </cell>
          <cell r="C34">
            <v>70</v>
          </cell>
          <cell r="D34">
            <v>70</v>
          </cell>
          <cell r="E34">
            <v>77</v>
          </cell>
          <cell r="F34">
            <v>115</v>
          </cell>
        </row>
        <row r="35">
          <cell r="A35" t="str">
            <v>'4000100482</v>
          </cell>
          <cell r="B35" t="str">
            <v>BRANDT ORGANIPLEX MG 1L</v>
          </cell>
          <cell r="C35">
            <v>9.7200000000000006</v>
          </cell>
          <cell r="D35">
            <v>10.37</v>
          </cell>
          <cell r="E35">
            <v>11.66</v>
          </cell>
          <cell r="F35">
            <v>460</v>
          </cell>
        </row>
        <row r="36">
          <cell r="A36" t="str">
            <v>'4000100484</v>
          </cell>
          <cell r="B36" t="str">
            <v>BRANDT ORGANIPLEX MICRO MIX 10L</v>
          </cell>
          <cell r="C36">
            <v>70</v>
          </cell>
          <cell r="D36">
            <v>70</v>
          </cell>
          <cell r="E36">
            <v>77</v>
          </cell>
          <cell r="F36">
            <v>115</v>
          </cell>
        </row>
        <row r="37">
          <cell r="A37" t="str">
            <v>'4000100483</v>
          </cell>
          <cell r="B37" t="str">
            <v>BRANDT ORGANIPLEX MICRO MIX 1L</v>
          </cell>
          <cell r="C37">
            <v>7</v>
          </cell>
          <cell r="D37">
            <v>7</v>
          </cell>
          <cell r="E37">
            <v>7.7</v>
          </cell>
          <cell r="F37">
            <v>427</v>
          </cell>
        </row>
        <row r="38">
          <cell r="A38" t="str">
            <v>'4000100478</v>
          </cell>
          <cell r="B38" t="str">
            <v>BRANDT SMART K  B 10L</v>
          </cell>
          <cell r="C38">
            <v>101.79</v>
          </cell>
          <cell r="D38">
            <v>108.58</v>
          </cell>
          <cell r="E38">
            <v>122.15</v>
          </cell>
          <cell r="F38">
            <v>396</v>
          </cell>
        </row>
        <row r="39">
          <cell r="A39" t="str">
            <v>'4000100444</v>
          </cell>
          <cell r="B39" t="str">
            <v>BRANDT SMART K  B 1L</v>
          </cell>
          <cell r="C39">
            <v>13.95</v>
          </cell>
          <cell r="D39">
            <v>14.88</v>
          </cell>
          <cell r="E39">
            <v>16.739999999999998</v>
          </cell>
          <cell r="F39">
            <v>647</v>
          </cell>
        </row>
        <row r="40">
          <cell r="A40" t="str">
            <v>'4000100362</v>
          </cell>
          <cell r="B40" t="str">
            <v>CALIX 25 KGS</v>
          </cell>
          <cell r="C40">
            <v>21</v>
          </cell>
          <cell r="D40">
            <v>23</v>
          </cell>
          <cell r="E40">
            <v>24</v>
          </cell>
          <cell r="F40">
            <v>3274</v>
          </cell>
        </row>
        <row r="41">
          <cell r="A41" t="str">
            <v>'4000100462</v>
          </cell>
          <cell r="B41" t="str">
            <v>CALIX PURE 25KG</v>
          </cell>
          <cell r="C41">
            <v>21</v>
          </cell>
          <cell r="D41">
            <v>23</v>
          </cell>
          <cell r="E41">
            <v>24</v>
          </cell>
          <cell r="F41">
            <v>1</v>
          </cell>
        </row>
        <row r="42">
          <cell r="A42" t="str">
            <v>'4000100527</v>
          </cell>
          <cell r="B42" t="str">
            <v>CANALETA HIDROPONICA BLANCA 700 ROLLO 120MX35</v>
          </cell>
          <cell r="C42">
            <v>268.2</v>
          </cell>
          <cell r="D42">
            <v>277.14</v>
          </cell>
          <cell r="E42">
            <v>286.08</v>
          </cell>
          <cell r="F42">
            <v>46</v>
          </cell>
        </row>
        <row r="43">
          <cell r="A43" t="str">
            <v>'4000100564</v>
          </cell>
          <cell r="B43" t="str">
            <v xml:space="preserve">DAP 18-46-0  45KG </v>
          </cell>
          <cell r="C43">
            <v>49</v>
          </cell>
          <cell r="D43">
            <v>51</v>
          </cell>
          <cell r="E43">
            <v>52</v>
          </cell>
          <cell r="F43">
            <v>20</v>
          </cell>
        </row>
        <row r="44">
          <cell r="A44" t="str">
            <v>'4000100355</v>
          </cell>
          <cell r="B44" t="str">
            <v>FERTI MAG 25 KG</v>
          </cell>
          <cell r="C44">
            <v>19</v>
          </cell>
          <cell r="D44">
            <v>21</v>
          </cell>
          <cell r="E44">
            <v>22</v>
          </cell>
          <cell r="F44">
            <v>2186</v>
          </cell>
        </row>
        <row r="45">
          <cell r="A45" t="str">
            <v>'4000100681</v>
          </cell>
          <cell r="B45" t="str">
            <v>FERTILISA NPK 15-15-15+S  50KG</v>
          </cell>
          <cell r="C45">
            <v>48</v>
          </cell>
          <cell r="D45">
            <v>50</v>
          </cell>
          <cell r="E45">
            <v>51</v>
          </cell>
          <cell r="F45">
            <v>2846</v>
          </cell>
        </row>
        <row r="46">
          <cell r="A46" t="str">
            <v>'4000100707</v>
          </cell>
          <cell r="B46" t="str">
            <v xml:space="preserve">FERTILISA W NPK 19-9-19  1KG </v>
          </cell>
          <cell r="C46">
            <v>0</v>
          </cell>
          <cell r="D46">
            <v>0</v>
          </cell>
          <cell r="E46">
            <v>0</v>
          </cell>
          <cell r="F46">
            <v>250</v>
          </cell>
        </row>
        <row r="47">
          <cell r="A47" t="str">
            <v>'4000100708</v>
          </cell>
          <cell r="B47" t="str">
            <v xml:space="preserve">FERTILISA W NPK 19-9-19  3KG </v>
          </cell>
          <cell r="C47">
            <v>0</v>
          </cell>
          <cell r="D47">
            <v>0</v>
          </cell>
          <cell r="E47">
            <v>0</v>
          </cell>
          <cell r="F47">
            <v>100</v>
          </cell>
        </row>
        <row r="48">
          <cell r="A48" t="str">
            <v>'4000100609</v>
          </cell>
          <cell r="B48" t="str">
            <v xml:space="preserve">FERTILISA W NPK 19-9-19  50KG </v>
          </cell>
          <cell r="C48">
            <v>46</v>
          </cell>
          <cell r="D48">
            <v>48</v>
          </cell>
          <cell r="E48">
            <v>49</v>
          </cell>
          <cell r="F48">
            <v>1750</v>
          </cell>
        </row>
        <row r="49">
          <cell r="A49" t="str">
            <v>'ABP-22</v>
          </cell>
          <cell r="B49" t="str">
            <v>FOSFOBACS 1GALON</v>
          </cell>
          <cell r="C49">
            <v>20</v>
          </cell>
          <cell r="D49">
            <v>20</v>
          </cell>
          <cell r="E49">
            <v>20</v>
          </cell>
          <cell r="F49">
            <v>3</v>
          </cell>
        </row>
        <row r="50">
          <cell r="A50" t="str">
            <v>'4000100589</v>
          </cell>
          <cell r="B50" t="str">
            <v>GRANUPOTASSE 0-0-50-18(S) 25KG</v>
          </cell>
          <cell r="C50">
            <v>29</v>
          </cell>
          <cell r="D50">
            <v>31</v>
          </cell>
          <cell r="E50">
            <v>32</v>
          </cell>
          <cell r="F50">
            <v>444</v>
          </cell>
        </row>
        <row r="51">
          <cell r="A51" t="str">
            <v>'4000100528</v>
          </cell>
          <cell r="B51" t="str">
            <v>GROUND COVER BLANCO ROLLO 200MX2M</v>
          </cell>
          <cell r="C51">
            <v>474</v>
          </cell>
          <cell r="D51">
            <v>505.6</v>
          </cell>
          <cell r="E51">
            <v>537.20000000000005</v>
          </cell>
          <cell r="F51">
            <v>24</v>
          </cell>
        </row>
        <row r="52">
          <cell r="A52" t="str">
            <v>'4000100530</v>
          </cell>
          <cell r="B52" t="str">
            <v>GROUND COVER BLANCO X 1M</v>
          </cell>
          <cell r="C52">
            <v>1.19</v>
          </cell>
          <cell r="D52">
            <v>1.36</v>
          </cell>
          <cell r="E52">
            <v>1.44</v>
          </cell>
          <cell r="F52">
            <v>250</v>
          </cell>
        </row>
        <row r="53">
          <cell r="A53" t="str">
            <v>'ABP-55</v>
          </cell>
          <cell r="B53" t="str">
            <v>INSECBIOL 10WP 1KG (DRONE)</v>
          </cell>
          <cell r="C53">
            <v>75.400000000000006</v>
          </cell>
          <cell r="D53">
            <v>92.8</v>
          </cell>
          <cell r="E53">
            <v>95.7</v>
          </cell>
          <cell r="F53">
            <v>14</v>
          </cell>
        </row>
        <row r="54">
          <cell r="A54" t="str">
            <v>'4000100491</v>
          </cell>
          <cell r="B54" t="str">
            <v>JIFFY BANDEJA COCO PLÁSTICA 35 MM UN1</v>
          </cell>
          <cell r="C54">
            <v>2</v>
          </cell>
          <cell r="D54">
            <v>2.34</v>
          </cell>
          <cell r="E54">
            <v>2.5099999999999998</v>
          </cell>
          <cell r="F54">
            <v>1302</v>
          </cell>
        </row>
        <row r="55">
          <cell r="A55" t="str">
            <v>'4000100493</v>
          </cell>
          <cell r="B55" t="str">
            <v>JIFFY BOLSA DE CRECIMIENTO COCO MIX ESSE SC18L</v>
          </cell>
          <cell r="C55">
            <v>4.5599999999999996</v>
          </cell>
          <cell r="D55">
            <v>5.32</v>
          </cell>
          <cell r="E55">
            <v>5.7</v>
          </cell>
          <cell r="F55">
            <v>14</v>
          </cell>
        </row>
        <row r="56">
          <cell r="A56" t="str">
            <v>'4000100492</v>
          </cell>
          <cell r="B56" t="str">
            <v>JIFFY MACETA BIODEGRADABLE REDONDA 6.2X5.7 CJ2816</v>
          </cell>
          <cell r="C56">
            <v>88.4</v>
          </cell>
          <cell r="D56">
            <v>103.14</v>
          </cell>
          <cell r="E56">
            <v>110.51</v>
          </cell>
          <cell r="F56">
            <v>1</v>
          </cell>
        </row>
        <row r="57">
          <cell r="A57" t="str">
            <v>'4000100496</v>
          </cell>
          <cell r="B57" t="str">
            <v>JIFFY PELLET HORTÍCOLA 50X150 BIO OSMO</v>
          </cell>
          <cell r="C57">
            <v>33.28</v>
          </cell>
          <cell r="D57">
            <v>38.82</v>
          </cell>
          <cell r="E57">
            <v>41.6</v>
          </cell>
          <cell r="F57">
            <v>20</v>
          </cell>
        </row>
        <row r="58">
          <cell r="A58" t="str">
            <v>'ABP-63</v>
          </cell>
          <cell r="B58" t="str">
            <v>LILACIL 10WP (DRONE) 1KG</v>
          </cell>
          <cell r="C58">
            <v>30</v>
          </cell>
          <cell r="D58">
            <v>30</v>
          </cell>
          <cell r="E58">
            <v>30</v>
          </cell>
          <cell r="F58">
            <v>4</v>
          </cell>
        </row>
        <row r="59">
          <cell r="A59" t="str">
            <v>'ABP-47</v>
          </cell>
          <cell r="B59" t="str">
            <v>LILACIL 1KG</v>
          </cell>
          <cell r="C59">
            <v>15</v>
          </cell>
          <cell r="D59">
            <v>15</v>
          </cell>
          <cell r="E59">
            <v>15</v>
          </cell>
          <cell r="F59">
            <v>1</v>
          </cell>
        </row>
        <row r="60">
          <cell r="A60" t="str">
            <v>'4000100606</v>
          </cell>
          <cell r="B60" t="str">
            <v>LYON 20 LT</v>
          </cell>
          <cell r="C60">
            <v>336</v>
          </cell>
          <cell r="D60">
            <v>355</v>
          </cell>
          <cell r="E60">
            <v>355</v>
          </cell>
          <cell r="F60">
            <v>13</v>
          </cell>
        </row>
        <row r="61">
          <cell r="A61" t="str">
            <v>'4000100709</v>
          </cell>
          <cell r="B61" t="str">
            <v>MAGNISOL 1KG</v>
          </cell>
          <cell r="C61">
            <v>0</v>
          </cell>
          <cell r="D61">
            <v>0</v>
          </cell>
          <cell r="E61">
            <v>0</v>
          </cell>
          <cell r="F61">
            <v>250</v>
          </cell>
        </row>
        <row r="62">
          <cell r="A62" t="str">
            <v>'4000100360</v>
          </cell>
          <cell r="B62" t="str">
            <v>MAGNISOL 25 KG</v>
          </cell>
          <cell r="C62">
            <v>21</v>
          </cell>
          <cell r="D62">
            <v>23</v>
          </cell>
          <cell r="E62">
            <v>24</v>
          </cell>
          <cell r="F62">
            <v>673</v>
          </cell>
        </row>
        <row r="63">
          <cell r="A63" t="str">
            <v>'4000100710</v>
          </cell>
          <cell r="B63" t="str">
            <v>MAGNISOL 3KG</v>
          </cell>
          <cell r="C63">
            <v>0</v>
          </cell>
          <cell r="D63">
            <v>0</v>
          </cell>
          <cell r="E63">
            <v>0</v>
          </cell>
          <cell r="F63">
            <v>100</v>
          </cell>
        </row>
        <row r="64">
          <cell r="A64" t="str">
            <v>'4000100650</v>
          </cell>
          <cell r="B64" t="str">
            <v>MANTA AGRICOLA (17G - 1.6M X 1000M)</v>
          </cell>
          <cell r="C64">
            <v>148.5</v>
          </cell>
          <cell r="D64">
            <v>159.5</v>
          </cell>
          <cell r="E64">
            <v>170.5</v>
          </cell>
          <cell r="F64">
            <v>29</v>
          </cell>
        </row>
        <row r="65">
          <cell r="A65" t="str">
            <v>'12787</v>
          </cell>
          <cell r="B65" t="str">
            <v>MANVERT H2O PLUS - (250G)</v>
          </cell>
          <cell r="C65">
            <v>5</v>
          </cell>
          <cell r="D65">
            <v>5</v>
          </cell>
          <cell r="E65">
            <v>5</v>
          </cell>
          <cell r="F65">
            <v>8</v>
          </cell>
        </row>
        <row r="66">
          <cell r="A66" t="str">
            <v>'4000100506</v>
          </cell>
          <cell r="B66" t="str">
            <v>MAP 12-61-0  9KG</v>
          </cell>
          <cell r="C66">
            <v>19.5</v>
          </cell>
          <cell r="D66">
            <v>21.5</v>
          </cell>
          <cell r="E66">
            <v>22.5</v>
          </cell>
          <cell r="F66">
            <v>1307</v>
          </cell>
        </row>
        <row r="67">
          <cell r="A67" t="str">
            <v>'ABP-44</v>
          </cell>
          <cell r="B67" t="str">
            <v>METARIL 1KG</v>
          </cell>
          <cell r="C67">
            <v>15</v>
          </cell>
          <cell r="D67">
            <v>15</v>
          </cell>
          <cell r="E67">
            <v>15</v>
          </cell>
          <cell r="F67">
            <v>4</v>
          </cell>
        </row>
        <row r="68">
          <cell r="A68" t="str">
            <v>'4000100693</v>
          </cell>
          <cell r="B68" t="str">
            <v xml:space="preserve">MF 22.5-4.6-17.5-4.5(MG)-5.5(S) CON NX 45KG </v>
          </cell>
          <cell r="C68">
            <v>44.27</v>
          </cell>
          <cell r="D68">
            <v>46.27</v>
          </cell>
          <cell r="E68">
            <v>47.27</v>
          </cell>
          <cell r="F68">
            <v>416</v>
          </cell>
        </row>
        <row r="69">
          <cell r="A69" t="str">
            <v>'MICRO EDTA 1KG</v>
          </cell>
          <cell r="B69" t="str">
            <v>MICRO COMBO 1KG</v>
          </cell>
          <cell r="C69">
            <v>13</v>
          </cell>
          <cell r="D69">
            <v>14</v>
          </cell>
          <cell r="E69">
            <v>15</v>
          </cell>
          <cell r="F69">
            <v>990</v>
          </cell>
        </row>
        <row r="70">
          <cell r="A70" t="str">
            <v>'MICRO EDTA 5KG</v>
          </cell>
          <cell r="B70" t="str">
            <v>MICRO COMBO 5KG</v>
          </cell>
          <cell r="C70">
            <v>68</v>
          </cell>
          <cell r="D70">
            <v>69</v>
          </cell>
          <cell r="E70">
            <v>70</v>
          </cell>
          <cell r="F70">
            <v>187</v>
          </cell>
        </row>
        <row r="71">
          <cell r="A71" t="str">
            <v>'MICRO EDTA 25KG</v>
          </cell>
          <cell r="B71" t="str">
            <v>MICRO COMBO EDTA 25KG</v>
          </cell>
          <cell r="C71">
            <v>310</v>
          </cell>
          <cell r="D71">
            <v>320</v>
          </cell>
          <cell r="E71">
            <v>330</v>
          </cell>
          <cell r="F71">
            <v>221</v>
          </cell>
        </row>
        <row r="72">
          <cell r="A72" t="str">
            <v>'MICRO COMBO EDTA 25KG</v>
          </cell>
          <cell r="B72" t="str">
            <v>MICRO COMBO EDTA TAMBORES 25KG</v>
          </cell>
          <cell r="C72">
            <v>310</v>
          </cell>
          <cell r="D72">
            <v>320</v>
          </cell>
          <cell r="E72">
            <v>330</v>
          </cell>
          <cell r="F72">
            <v>1</v>
          </cell>
        </row>
        <row r="73">
          <cell r="A73" t="str">
            <v>'4000100370</v>
          </cell>
          <cell r="B73" t="str">
            <v>MICRO FE 13.50% (EDTA) 25KG</v>
          </cell>
          <cell r="C73">
            <v>300</v>
          </cell>
          <cell r="D73">
            <v>310</v>
          </cell>
          <cell r="E73">
            <v>320</v>
          </cell>
          <cell r="F73">
            <v>44</v>
          </cell>
        </row>
        <row r="74">
          <cell r="A74" t="str">
            <v>'4000100646</v>
          </cell>
          <cell r="B74" t="str">
            <v>MICRO FE 5KG</v>
          </cell>
          <cell r="C74">
            <v>66</v>
          </cell>
          <cell r="D74">
            <v>67</v>
          </cell>
          <cell r="E74">
            <v>68</v>
          </cell>
          <cell r="F74">
            <v>180</v>
          </cell>
        </row>
        <row r="75">
          <cell r="A75" t="str">
            <v>'4000100567</v>
          </cell>
          <cell r="B75" t="str">
            <v>MIKROTHOR L 25KG</v>
          </cell>
          <cell r="C75">
            <v>38</v>
          </cell>
          <cell r="D75">
            <v>40</v>
          </cell>
          <cell r="E75">
            <v>41</v>
          </cell>
          <cell r="F75">
            <v>177</v>
          </cell>
        </row>
        <row r="76">
          <cell r="A76" t="str">
            <v>'4000100357</v>
          </cell>
          <cell r="B76" t="str">
            <v>MKP 0-51-34 25 KG</v>
          </cell>
          <cell r="C76">
            <v>60</v>
          </cell>
          <cell r="D76">
            <v>62</v>
          </cell>
          <cell r="E76">
            <v>63</v>
          </cell>
          <cell r="F76">
            <v>336</v>
          </cell>
        </row>
        <row r="77">
          <cell r="A77" t="str">
            <v>'4000100678</v>
          </cell>
          <cell r="B77" t="str">
            <v>MULCH BLANCO-NEGRO (0.8MM X 48PULG X 1500M) LISO</v>
          </cell>
          <cell r="C77">
            <v>83.7</v>
          </cell>
          <cell r="D77">
            <v>89.9</v>
          </cell>
          <cell r="E77">
            <v>96.1</v>
          </cell>
          <cell r="F77">
            <v>71</v>
          </cell>
        </row>
        <row r="78">
          <cell r="A78" t="str">
            <v>'4000100677</v>
          </cell>
          <cell r="B78" t="str">
            <v>MULCH PLATA - NEGRO (0.7MM X 48PULG X 1500M) LISO</v>
          </cell>
          <cell r="C78">
            <v>76.95</v>
          </cell>
          <cell r="D78">
            <v>82.65</v>
          </cell>
          <cell r="E78">
            <v>88.35</v>
          </cell>
          <cell r="F78">
            <v>85</v>
          </cell>
        </row>
        <row r="79">
          <cell r="A79" t="str">
            <v>'4000100679</v>
          </cell>
          <cell r="B79" t="str">
            <v>MULCH PLATA-NEGRO (0.7MM X 52PULG X 1500M PC20)</v>
          </cell>
          <cell r="C79">
            <v>90.45</v>
          </cell>
          <cell r="D79">
            <v>97.15</v>
          </cell>
          <cell r="E79">
            <v>103.85</v>
          </cell>
          <cell r="F79">
            <v>63</v>
          </cell>
        </row>
        <row r="80">
          <cell r="A80" t="str">
            <v>'4000100680</v>
          </cell>
          <cell r="B80" t="str">
            <v>MULCH PLATA-NEGRO 48 PLG LISO CALIBRE 0.75</v>
          </cell>
          <cell r="C80">
            <v>90.45</v>
          </cell>
          <cell r="D80">
            <v>97.15</v>
          </cell>
          <cell r="E80">
            <v>103.85</v>
          </cell>
          <cell r="F80">
            <v>1</v>
          </cell>
        </row>
        <row r="81">
          <cell r="A81" t="str">
            <v>'4000100481</v>
          </cell>
          <cell r="B81" t="str">
            <v>NORDOX 75 WG 20LB</v>
          </cell>
          <cell r="C81">
            <v>186.68</v>
          </cell>
          <cell r="D81">
            <v>215.4</v>
          </cell>
          <cell r="E81">
            <v>244.12</v>
          </cell>
          <cell r="F81">
            <v>60</v>
          </cell>
        </row>
        <row r="82">
          <cell r="A82" t="str">
            <v>'4000100497</v>
          </cell>
          <cell r="B82" t="str">
            <v>NORDOX 75WG  250G</v>
          </cell>
          <cell r="C82">
            <v>7.8</v>
          </cell>
          <cell r="D82">
            <v>9</v>
          </cell>
          <cell r="E82">
            <v>10.199999999999999</v>
          </cell>
          <cell r="F82">
            <v>1197</v>
          </cell>
        </row>
        <row r="83">
          <cell r="A83" t="str">
            <v>'4000100498</v>
          </cell>
          <cell r="B83" t="str">
            <v>NORDOX 75WG 25G</v>
          </cell>
          <cell r="C83">
            <v>2.6</v>
          </cell>
          <cell r="D83">
            <v>3</v>
          </cell>
          <cell r="E83">
            <v>3.4</v>
          </cell>
          <cell r="F83">
            <v>17785</v>
          </cell>
        </row>
        <row r="84">
          <cell r="A84" t="str">
            <v>'4000100425</v>
          </cell>
          <cell r="B84" t="str">
            <v>NPK HIGH PLEX 1.50 KG</v>
          </cell>
          <cell r="C84">
            <v>4</v>
          </cell>
          <cell r="D84">
            <v>5</v>
          </cell>
          <cell r="E84">
            <v>6</v>
          </cell>
          <cell r="F84">
            <v>10</v>
          </cell>
        </row>
        <row r="85">
          <cell r="A85" t="str">
            <v>'4000100372</v>
          </cell>
          <cell r="B85" t="str">
            <v xml:space="preserve">NPK HIGH PLEX 1KG </v>
          </cell>
          <cell r="C85">
            <v>3</v>
          </cell>
          <cell r="D85">
            <v>3.75</v>
          </cell>
          <cell r="E85">
            <v>4.5</v>
          </cell>
          <cell r="F85">
            <v>259</v>
          </cell>
        </row>
        <row r="86">
          <cell r="A86" t="str">
            <v>'4000100374</v>
          </cell>
          <cell r="B86" t="str">
            <v xml:space="preserve">NPK HIGH PLEX 2KG </v>
          </cell>
          <cell r="C86">
            <v>5</v>
          </cell>
          <cell r="D86">
            <v>6.25</v>
          </cell>
          <cell r="E86">
            <v>7.5</v>
          </cell>
          <cell r="F86">
            <v>10</v>
          </cell>
        </row>
        <row r="87">
          <cell r="A87" t="str">
            <v>'4000100424</v>
          </cell>
          <cell r="B87" t="str">
            <v>NPK HIGH PLEX 3.50 KG</v>
          </cell>
          <cell r="C87">
            <v>7</v>
          </cell>
          <cell r="D87">
            <v>8.75</v>
          </cell>
          <cell r="E87">
            <v>10.5</v>
          </cell>
          <cell r="F87">
            <v>7</v>
          </cell>
        </row>
        <row r="88">
          <cell r="A88" t="str">
            <v>'4000100371</v>
          </cell>
          <cell r="B88" t="str">
            <v xml:space="preserve">NPK HIGH PLEX 3KG </v>
          </cell>
          <cell r="C88">
            <v>6</v>
          </cell>
          <cell r="D88">
            <v>7.5</v>
          </cell>
          <cell r="E88">
            <v>9</v>
          </cell>
          <cell r="F88">
            <v>105</v>
          </cell>
        </row>
        <row r="89">
          <cell r="A89" t="str">
            <v>'4000100398</v>
          </cell>
          <cell r="B89" t="str">
            <v>NPK HIGH PLEX 50KG 12-12-17+EM</v>
          </cell>
          <cell r="C89">
            <v>59</v>
          </cell>
          <cell r="D89">
            <v>61</v>
          </cell>
          <cell r="E89">
            <v>62</v>
          </cell>
          <cell r="F89">
            <v>1103</v>
          </cell>
        </row>
        <row r="90">
          <cell r="A90" t="str">
            <v>'4000100426</v>
          </cell>
          <cell r="B90" t="str">
            <v>NPK HIGH PLEX 800G</v>
          </cell>
          <cell r="C90">
            <v>2</v>
          </cell>
          <cell r="D90">
            <v>2.5</v>
          </cell>
          <cell r="E90">
            <v>3</v>
          </cell>
          <cell r="F90">
            <v>4</v>
          </cell>
        </row>
        <row r="91">
          <cell r="A91" t="str">
            <v>'4000100499</v>
          </cell>
          <cell r="B91" t="str">
            <v>NUTRIMON SOLU NK-P 25KG</v>
          </cell>
          <cell r="C91">
            <v>43</v>
          </cell>
          <cell r="D91">
            <v>45</v>
          </cell>
          <cell r="E91">
            <v>46</v>
          </cell>
          <cell r="F91">
            <v>74</v>
          </cell>
        </row>
        <row r="92">
          <cell r="A92" t="str">
            <v>'4000100624</v>
          </cell>
          <cell r="B92" t="str">
            <v>PAGRORAC 25SC (QUINCLORAC)  20LT R</v>
          </cell>
          <cell r="C92">
            <v>252</v>
          </cell>
          <cell r="D92">
            <v>273</v>
          </cell>
          <cell r="E92">
            <v>294</v>
          </cell>
          <cell r="F92">
            <v>1</v>
          </cell>
        </row>
        <row r="93">
          <cell r="A93" t="str">
            <v>'4000100692</v>
          </cell>
          <cell r="B93" t="str">
            <v>POEMA GATOS ESTERILIZADOS - CONTROL PESO 2KG</v>
          </cell>
          <cell r="C93">
            <v>22.99</v>
          </cell>
          <cell r="D93">
            <v>20</v>
          </cell>
          <cell r="E93">
            <v>29.99</v>
          </cell>
          <cell r="F93">
            <v>7</v>
          </cell>
        </row>
        <row r="94">
          <cell r="A94" t="str">
            <v>'4000100690</v>
          </cell>
          <cell r="B94" t="str">
            <v>POEMA GATOS ESTERILIZADOS - CONTROL URINARIO 2KG</v>
          </cell>
          <cell r="C94">
            <v>22.99</v>
          </cell>
          <cell r="D94">
            <v>20</v>
          </cell>
          <cell r="E94">
            <v>29.99</v>
          </cell>
          <cell r="F94">
            <v>7</v>
          </cell>
        </row>
        <row r="95">
          <cell r="A95" t="str">
            <v>'4000100688</v>
          </cell>
          <cell r="B95" t="str">
            <v>POEMA PERROS PATAGÓNICO 3KG</v>
          </cell>
          <cell r="C95">
            <v>16.989999999999998</v>
          </cell>
          <cell r="D95">
            <v>15</v>
          </cell>
          <cell r="E95">
            <v>22.99</v>
          </cell>
          <cell r="F95">
            <v>8</v>
          </cell>
        </row>
        <row r="96">
          <cell r="A96" t="str">
            <v>'4000100503</v>
          </cell>
          <cell r="B96" t="str">
            <v>QTS BOLSA DE SUSTRATO DE TURBA  250L</v>
          </cell>
          <cell r="C96">
            <v>27.93</v>
          </cell>
          <cell r="D96">
            <v>31.92</v>
          </cell>
          <cell r="E96">
            <v>33.92</v>
          </cell>
          <cell r="F96">
            <v>741</v>
          </cell>
        </row>
        <row r="97">
          <cell r="A97" t="str">
            <v>'4000100502</v>
          </cell>
          <cell r="B97" t="str">
            <v>QTS BOLSA DE SUSTRATO DE TURBA CON PERLITA 250L</v>
          </cell>
          <cell r="C97">
            <v>30.23</v>
          </cell>
          <cell r="D97">
            <v>33.32</v>
          </cell>
          <cell r="E97">
            <v>37.200000000000003</v>
          </cell>
          <cell r="F97">
            <v>470</v>
          </cell>
        </row>
        <row r="98">
          <cell r="A98" t="str">
            <v>'4000100546</v>
          </cell>
          <cell r="B98" t="str">
            <v>QUIVER CUAJE 1L</v>
          </cell>
          <cell r="C98">
            <v>38.840000000000003</v>
          </cell>
          <cell r="D98">
            <v>46.61</v>
          </cell>
          <cell r="E98">
            <v>48.16</v>
          </cell>
          <cell r="F98">
            <v>4</v>
          </cell>
        </row>
        <row r="99">
          <cell r="A99" t="str">
            <v>'4000100552</v>
          </cell>
          <cell r="B99" t="str">
            <v>QUIVER FRESH 1L</v>
          </cell>
          <cell r="C99">
            <v>30.14</v>
          </cell>
          <cell r="D99">
            <v>36.17</v>
          </cell>
          <cell r="E99">
            <v>37.369999999999997</v>
          </cell>
          <cell r="F99">
            <v>15</v>
          </cell>
        </row>
        <row r="100">
          <cell r="A100" t="str">
            <v>'4000100522</v>
          </cell>
          <cell r="B100" t="str">
            <v>QUIVER FRUCTÓN LIQ 20LT</v>
          </cell>
          <cell r="C100">
            <v>677.96</v>
          </cell>
          <cell r="D100">
            <v>813.56</v>
          </cell>
          <cell r="E100">
            <v>840.67</v>
          </cell>
          <cell r="F100">
            <v>16</v>
          </cell>
        </row>
        <row r="101">
          <cell r="A101" t="str">
            <v>'4000100555</v>
          </cell>
          <cell r="B101" t="str">
            <v>QUIVER NITRO FORT 1L</v>
          </cell>
          <cell r="C101">
            <v>18.13</v>
          </cell>
          <cell r="D101">
            <v>21.75</v>
          </cell>
          <cell r="E101">
            <v>22.48</v>
          </cell>
          <cell r="F101">
            <v>157</v>
          </cell>
        </row>
        <row r="102">
          <cell r="A102" t="str">
            <v>'4000100543</v>
          </cell>
          <cell r="B102" t="str">
            <v>QUIVER RAIZ 1L</v>
          </cell>
          <cell r="C102">
            <v>21</v>
          </cell>
          <cell r="D102">
            <v>25.2</v>
          </cell>
          <cell r="E102">
            <v>26.04</v>
          </cell>
          <cell r="F102">
            <v>7</v>
          </cell>
        </row>
        <row r="103">
          <cell r="A103" t="str">
            <v>'4000100561</v>
          </cell>
          <cell r="B103" t="str">
            <v>QUIVER SETTING 4  100G</v>
          </cell>
          <cell r="C103">
            <v>38.130000000000003</v>
          </cell>
          <cell r="D103">
            <v>45.75</v>
          </cell>
          <cell r="E103">
            <v>47.28</v>
          </cell>
          <cell r="F103">
            <v>12</v>
          </cell>
        </row>
        <row r="104">
          <cell r="A104" t="str">
            <v>'4000100675</v>
          </cell>
          <cell r="B104" t="str">
            <v>SARAN AZUL 90% SOMBRA (3.70M X 100M)</v>
          </cell>
          <cell r="C104">
            <v>640.58000000000004</v>
          </cell>
          <cell r="D104">
            <v>688.03</v>
          </cell>
          <cell r="E104">
            <v>735.48</v>
          </cell>
          <cell r="F104">
            <v>1</v>
          </cell>
        </row>
        <row r="105">
          <cell r="A105" t="str">
            <v>'4000100673</v>
          </cell>
          <cell r="B105" t="str">
            <v xml:space="preserve">SARAN NEGRO 80% SOMBRA (3.70M X 100M) </v>
          </cell>
          <cell r="C105">
            <v>438.3</v>
          </cell>
          <cell r="D105">
            <v>470.77</v>
          </cell>
          <cell r="E105">
            <v>503.24</v>
          </cell>
          <cell r="F105">
            <v>1</v>
          </cell>
        </row>
        <row r="106">
          <cell r="A106" t="str">
            <v>'4000100674</v>
          </cell>
          <cell r="B106" t="str">
            <v xml:space="preserve">SARAN NEGRO 80% SOMBRA (3.70M X 100M) CON OJETES </v>
          </cell>
          <cell r="C106">
            <v>522.04999999999995</v>
          </cell>
          <cell r="D106">
            <v>560.72</v>
          </cell>
          <cell r="E106">
            <v>599.39</v>
          </cell>
          <cell r="F106">
            <v>1</v>
          </cell>
        </row>
        <row r="107">
          <cell r="A107" t="str">
            <v>'4000100676</v>
          </cell>
          <cell r="B107" t="str">
            <v xml:space="preserve">SARAN NEGRO 90% SOMBRA (3.70M X 100M) CON OJETES </v>
          </cell>
          <cell r="C107">
            <v>731.84</v>
          </cell>
          <cell r="D107">
            <v>786.05</v>
          </cell>
          <cell r="E107">
            <v>840.26</v>
          </cell>
          <cell r="F107">
            <v>1</v>
          </cell>
        </row>
        <row r="108">
          <cell r="A108" t="str">
            <v>'4000100359</v>
          </cell>
          <cell r="B108" t="str">
            <v>SOLU-KS 25 KG</v>
          </cell>
          <cell r="C108">
            <v>31</v>
          </cell>
          <cell r="D108">
            <v>33</v>
          </cell>
          <cell r="E108">
            <v>34</v>
          </cell>
          <cell r="F108">
            <v>1410</v>
          </cell>
        </row>
        <row r="109">
          <cell r="A109" t="str">
            <v>'4000100526</v>
          </cell>
          <cell r="B109" t="str">
            <v>SPACER NEGRO (SOPORTES PLASTICOS)</v>
          </cell>
          <cell r="C109">
            <v>1.94</v>
          </cell>
          <cell r="D109">
            <v>2.16</v>
          </cell>
          <cell r="E109">
            <v>2.31</v>
          </cell>
          <cell r="F109">
            <v>1872</v>
          </cell>
        </row>
        <row r="110">
          <cell r="A110" t="str">
            <v>'4000100593</v>
          </cell>
          <cell r="B110" t="str">
            <v>STREPTO 2000WP  1KG</v>
          </cell>
          <cell r="C110">
            <v>21.78</v>
          </cell>
          <cell r="D110">
            <v>22.69</v>
          </cell>
          <cell r="E110">
            <v>23.6</v>
          </cell>
          <cell r="F110">
            <v>20</v>
          </cell>
        </row>
        <row r="111">
          <cell r="A111" t="str">
            <v>'4000100617</v>
          </cell>
          <cell r="B111" t="str">
            <v>STREPTO 2WP 500G</v>
          </cell>
          <cell r="C111">
            <v>11.35</v>
          </cell>
          <cell r="D111">
            <v>11.8</v>
          </cell>
          <cell r="E111">
            <v>12.26</v>
          </cell>
          <cell r="F111">
            <v>2</v>
          </cell>
        </row>
        <row r="112">
          <cell r="A112" t="str">
            <v>'4000100647</v>
          </cell>
          <cell r="B112" t="str">
            <v xml:space="preserve">YARABELA NITROMAG 27 45KG </v>
          </cell>
          <cell r="C112">
            <v>36</v>
          </cell>
          <cell r="D112">
            <v>38</v>
          </cell>
          <cell r="E112">
            <v>39</v>
          </cell>
          <cell r="F112">
            <v>141</v>
          </cell>
        </row>
        <row r="113">
          <cell r="A113" t="str">
            <v>'40009973</v>
          </cell>
          <cell r="B113" t="str">
            <v>YARAMILA  ABOTEK 45 KG</v>
          </cell>
          <cell r="C113">
            <v>49</v>
          </cell>
          <cell r="D113">
            <v>51</v>
          </cell>
          <cell r="E113">
            <v>52</v>
          </cell>
          <cell r="F113">
            <v>6599</v>
          </cell>
        </row>
        <row r="114">
          <cell r="A114" t="str">
            <v>'40009976</v>
          </cell>
          <cell r="B114" t="str">
            <v>YARAMILA 10-20-20 45 KG</v>
          </cell>
          <cell r="C114">
            <v>57</v>
          </cell>
          <cell r="D114">
            <v>59</v>
          </cell>
          <cell r="E114">
            <v>60</v>
          </cell>
          <cell r="F114">
            <v>956</v>
          </cell>
        </row>
        <row r="115">
          <cell r="A115" t="str">
            <v>'4000100684</v>
          </cell>
          <cell r="B115" t="str">
            <v>YARAMILA ABOTEK (15-4-23)  50 KG</v>
          </cell>
          <cell r="C115">
            <v>50</v>
          </cell>
          <cell r="D115">
            <v>52</v>
          </cell>
          <cell r="E115">
            <v>53</v>
          </cell>
          <cell r="F115">
            <v>680</v>
          </cell>
        </row>
        <row r="116">
          <cell r="A116" t="str">
            <v>'4000100648</v>
          </cell>
          <cell r="B116" t="str">
            <v>YARAMILA NITROCOMPLEX 45 KG</v>
          </cell>
          <cell r="C116">
            <v>45</v>
          </cell>
          <cell r="D116">
            <v>47</v>
          </cell>
          <cell r="E116">
            <v>48</v>
          </cell>
          <cell r="F116">
            <v>77</v>
          </cell>
        </row>
        <row r="121">
          <cell r="C121">
            <v>9068.8000000000011</v>
          </cell>
          <cell r="D121">
            <v>9729.1599999999962</v>
          </cell>
          <cell r="E121">
            <v>10333.14</v>
          </cell>
          <cell r="F121">
            <v>64138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 Conteo ProductoEnvasado"/>
      <sheetName val="Muestras"/>
    </sheetNames>
    <sheetDataSet>
      <sheetData sheetId="0">
        <row r="24">
          <cell r="M24">
            <v>3</v>
          </cell>
        </row>
        <row r="27">
          <cell r="I27">
            <v>3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tilisa"/>
      <sheetName val="Preliminar"/>
      <sheetName val="Lenta Rotacion"/>
      <sheetName val="Vencimiento"/>
      <sheetName val="Sist."/>
    </sheetNames>
    <sheetDataSet>
      <sheetData sheetId="0"/>
      <sheetData sheetId="1">
        <row r="2">
          <cell r="A2" t="str">
            <v>'4000100518</v>
          </cell>
          <cell r="B2" t="str">
            <v>Jiffy Bloque de coco fino 5 Kg 60L</v>
          </cell>
          <cell r="C2">
            <v>1865</v>
          </cell>
          <cell r="D2">
            <v>1840</v>
          </cell>
          <cell r="E2">
            <v>25</v>
          </cell>
        </row>
        <row r="3">
          <cell r="A3" t="str">
            <v>'4000100492</v>
          </cell>
          <cell r="B3" t="str">
            <v>Jiffy Maceta Biodegradable Redonda 6.2x5.7 CJ2816</v>
          </cell>
          <cell r="C3">
            <v>12</v>
          </cell>
          <cell r="D3">
            <v>12</v>
          </cell>
          <cell r="E3">
            <v>0</v>
          </cell>
        </row>
        <row r="4">
          <cell r="A4" t="str">
            <v>'4000100488</v>
          </cell>
          <cell r="B4" t="str">
            <v>Jiffy Pellet Horticola 42*75 - 70 CJ840</v>
          </cell>
          <cell r="C4">
            <v>14</v>
          </cell>
          <cell r="D4">
            <v>14</v>
          </cell>
          <cell r="E4">
            <v>0</v>
          </cell>
        </row>
        <row r="5">
          <cell r="A5" t="str">
            <v>'4000100495</v>
          </cell>
          <cell r="B5" t="str">
            <v>Jiffy Pellet Horticola 50*150 Bio</v>
          </cell>
          <cell r="C5">
            <v>167</v>
          </cell>
          <cell r="D5">
            <v>167</v>
          </cell>
          <cell r="E5">
            <v>0</v>
          </cell>
        </row>
        <row r="6">
          <cell r="A6" t="str">
            <v>'4000100496</v>
          </cell>
          <cell r="B6" t="str">
            <v>Jiffy Pellet Horticola 50*150 Bio Osmo</v>
          </cell>
          <cell r="C6">
            <v>212</v>
          </cell>
          <cell r="D6">
            <v>212</v>
          </cell>
          <cell r="E6">
            <v>0</v>
          </cell>
        </row>
        <row r="7">
          <cell r="A7" t="str">
            <v>'12757</v>
          </cell>
          <cell r="B7" t="str">
            <v>Manvert Amino 24 - FR1 x Lt</v>
          </cell>
          <cell r="C7">
            <v>1888</v>
          </cell>
          <cell r="D7">
            <v>1888</v>
          </cell>
          <cell r="E7">
            <v>0</v>
          </cell>
        </row>
        <row r="8">
          <cell r="A8" t="str">
            <v>'12759</v>
          </cell>
          <cell r="B8" t="str">
            <v>Manvert Amino 24 - FR5 x 5Lt</v>
          </cell>
          <cell r="C8">
            <v>94</v>
          </cell>
          <cell r="D8">
            <v>94</v>
          </cell>
          <cell r="E8">
            <v>0</v>
          </cell>
        </row>
        <row r="9">
          <cell r="A9" t="str">
            <v>'4000100542</v>
          </cell>
          <cell r="B9" t="str">
            <v>Manvert Azumix x 5 Lts</v>
          </cell>
          <cell r="C9">
            <v>22</v>
          </cell>
          <cell r="D9">
            <v>22</v>
          </cell>
          <cell r="E9">
            <v>0</v>
          </cell>
        </row>
        <row r="10">
          <cell r="A10" t="str">
            <v>'4000100541</v>
          </cell>
          <cell r="B10" t="str">
            <v>Manvert Azumix x Lt</v>
          </cell>
          <cell r="C10">
            <v>97</v>
          </cell>
          <cell r="D10">
            <v>97</v>
          </cell>
          <cell r="E10">
            <v>0</v>
          </cell>
        </row>
        <row r="11">
          <cell r="A11" t="str">
            <v>'12716</v>
          </cell>
          <cell r="B11" t="str">
            <v>Manvert Complex - 5 x Lt</v>
          </cell>
          <cell r="C11">
            <v>38</v>
          </cell>
          <cell r="D11">
            <v>38</v>
          </cell>
          <cell r="E11">
            <v>0</v>
          </cell>
        </row>
        <row r="12">
          <cell r="A12" t="str">
            <v>'12718</v>
          </cell>
          <cell r="B12" t="str">
            <v>Manvert Complex - FR1 x Lt</v>
          </cell>
          <cell r="C12">
            <v>1653</v>
          </cell>
          <cell r="D12">
            <v>1653</v>
          </cell>
          <cell r="E12">
            <v>0</v>
          </cell>
        </row>
        <row r="13">
          <cell r="A13" t="str">
            <v>'12787</v>
          </cell>
          <cell r="B13" t="str">
            <v>Manvert H2O Plus - GR5 (5Kg-20x250G)</v>
          </cell>
          <cell r="C13">
            <v>4652</v>
          </cell>
          <cell r="D13">
            <v>4652</v>
          </cell>
          <cell r="E13">
            <v>0</v>
          </cell>
        </row>
        <row r="14">
          <cell r="A14" t="str">
            <v>'4000100535</v>
          </cell>
          <cell r="B14" t="str">
            <v>Manvert Miconic x 5 Lts</v>
          </cell>
          <cell r="C14">
            <v>141</v>
          </cell>
          <cell r="D14">
            <v>141</v>
          </cell>
          <cell r="E14">
            <v>0</v>
          </cell>
        </row>
        <row r="15">
          <cell r="A15" t="str">
            <v>'12665</v>
          </cell>
          <cell r="B15" t="str">
            <v>Manvert Miconic x Lt</v>
          </cell>
          <cell r="C15">
            <v>577</v>
          </cell>
          <cell r="D15">
            <v>577</v>
          </cell>
          <cell r="E15">
            <v>0</v>
          </cell>
        </row>
        <row r="16">
          <cell r="A16" t="str">
            <v>'4000100536</v>
          </cell>
          <cell r="B16" t="str">
            <v>Manvert Movili Ca x Kg</v>
          </cell>
          <cell r="C16">
            <v>573</v>
          </cell>
          <cell r="D16">
            <v>573</v>
          </cell>
          <cell r="E16">
            <v>0</v>
          </cell>
        </row>
        <row r="17">
          <cell r="A17" t="str">
            <v>'4000100540</v>
          </cell>
          <cell r="B17" t="str">
            <v>Manvert Win Ca x 20 Lts</v>
          </cell>
          <cell r="C17">
            <v>56</v>
          </cell>
          <cell r="D17">
            <v>56</v>
          </cell>
          <cell r="E17">
            <v>0</v>
          </cell>
        </row>
        <row r="18">
          <cell r="A18" t="str">
            <v>'4000100539</v>
          </cell>
          <cell r="B18" t="str">
            <v>Manvert Win Ca x 5 Lts</v>
          </cell>
          <cell r="C18">
            <v>181</v>
          </cell>
          <cell r="D18">
            <v>181</v>
          </cell>
          <cell r="E18">
            <v>0</v>
          </cell>
        </row>
        <row r="19">
          <cell r="A19" t="str">
            <v>'4000100538</v>
          </cell>
          <cell r="B19" t="str">
            <v>Manvert ZNB Tracker x 5Lts</v>
          </cell>
          <cell r="C19">
            <v>110</v>
          </cell>
          <cell r="D19">
            <v>110</v>
          </cell>
          <cell r="E19">
            <v>0</v>
          </cell>
        </row>
        <row r="20">
          <cell r="A20" t="str">
            <v>'4000100537</v>
          </cell>
          <cell r="B20" t="str">
            <v>Manvert ZNB Tracker x Lt</v>
          </cell>
          <cell r="C20">
            <v>394</v>
          </cell>
          <cell r="D20">
            <v>394</v>
          </cell>
          <cell r="E20">
            <v>0</v>
          </cell>
        </row>
        <row r="21">
          <cell r="A21" t="str">
            <v>'4000100490</v>
          </cell>
          <cell r="B21" t="str">
            <v>Jiffy Pellet Coco 35*58 MM NPK CJ1078</v>
          </cell>
          <cell r="C21">
            <v>0</v>
          </cell>
          <cell r="D21" t="str">
            <v/>
          </cell>
          <cell r="E21" t="str">
            <v/>
          </cell>
        </row>
        <row r="22">
          <cell r="A22" t="str">
            <v>'10994</v>
          </cell>
          <cell r="B22" t="str">
            <v>Manvert Defense Cu - FR1 x Lt</v>
          </cell>
          <cell r="C22">
            <v>0</v>
          </cell>
          <cell r="D22" t="str">
            <v/>
          </cell>
          <cell r="E22" t="str">
            <v/>
          </cell>
        </row>
        <row r="23">
          <cell r="A23" t="str">
            <v>'4000100589</v>
          </cell>
          <cell r="B23" t="str">
            <v>GranuPotasse x 25 Kg</v>
          </cell>
          <cell r="C23">
            <v>0</v>
          </cell>
          <cell r="D23" t="str">
            <v/>
          </cell>
          <cell r="E23" t="str">
            <v/>
          </cell>
        </row>
        <row r="24">
          <cell r="A24" t="str">
            <v>'4000100487</v>
          </cell>
          <cell r="B24" t="str">
            <v>Jiffy Bolsa de Crecimiento 70/30 Coco Mix-SC 18L</v>
          </cell>
          <cell r="C24">
            <v>0</v>
          </cell>
          <cell r="D24" t="str">
            <v/>
          </cell>
          <cell r="E24" t="str">
            <v/>
          </cell>
        </row>
        <row r="25">
          <cell r="A25" t="str">
            <v>'4000100525</v>
          </cell>
          <cell r="B25" t="str">
            <v>Jiffy Turba Prensada Fina 225L</v>
          </cell>
          <cell r="C25">
            <v>0</v>
          </cell>
          <cell r="D25" t="str">
            <v/>
          </cell>
          <cell r="E25" t="str">
            <v/>
          </cell>
        </row>
        <row r="26">
          <cell r="A26" t="str">
            <v>'4000100489</v>
          </cell>
          <cell r="B26" t="str">
            <v>Jiffy Pellet Horticola 36*75 - 96 Bionet - CJ 576</v>
          </cell>
          <cell r="C26">
            <v>0</v>
          </cell>
          <cell r="D26" t="str">
            <v/>
          </cell>
          <cell r="E26" t="str">
            <v/>
          </cell>
        </row>
        <row r="27">
          <cell r="A27" t="str">
            <v>'4000100524</v>
          </cell>
          <cell r="B27" t="str">
            <v>Jiffy Turba Prensada Perlita fina 225L</v>
          </cell>
          <cell r="C27">
            <v>0</v>
          </cell>
          <cell r="D27" t="str">
            <v/>
          </cell>
          <cell r="E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  <row r="41">
          <cell r="D41" t="str">
            <v/>
          </cell>
        </row>
        <row r="42">
          <cell r="D42" t="str">
            <v/>
          </cell>
        </row>
        <row r="43">
          <cell r="D43" t="str">
            <v/>
          </cell>
        </row>
        <row r="44">
          <cell r="D44" t="str">
            <v/>
          </cell>
        </row>
        <row r="45">
          <cell r="D45" t="str">
            <v/>
          </cell>
        </row>
        <row r="46">
          <cell r="D46" t="str">
            <v/>
          </cell>
        </row>
        <row r="47">
          <cell r="D47" t="str">
            <v/>
          </cell>
        </row>
        <row r="48">
          <cell r="D48" t="str">
            <v/>
          </cell>
        </row>
        <row r="49">
          <cell r="D49" t="str">
            <v/>
          </cell>
        </row>
        <row r="50">
          <cell r="D50" t="str">
            <v/>
          </cell>
        </row>
        <row r="51">
          <cell r="D51" t="str">
            <v/>
          </cell>
        </row>
        <row r="52">
          <cell r="D52" t="str">
            <v/>
          </cell>
        </row>
        <row r="53">
          <cell r="D53" t="str">
            <v/>
          </cell>
        </row>
        <row r="54">
          <cell r="D54" t="str">
            <v/>
          </cell>
        </row>
        <row r="55">
          <cell r="D55" t="str">
            <v/>
          </cell>
        </row>
        <row r="56">
          <cell r="D56" t="str">
            <v/>
          </cell>
        </row>
        <row r="57">
          <cell r="D57" t="str">
            <v/>
          </cell>
        </row>
        <row r="58">
          <cell r="D58" t="str">
            <v/>
          </cell>
        </row>
        <row r="59">
          <cell r="D59" t="str">
            <v/>
          </cell>
        </row>
        <row r="60">
          <cell r="D60" t="str">
            <v/>
          </cell>
        </row>
        <row r="61">
          <cell r="D61" t="str">
            <v/>
          </cell>
        </row>
        <row r="62">
          <cell r="D62" t="str">
            <v/>
          </cell>
        </row>
        <row r="63">
          <cell r="D63" t="str">
            <v/>
          </cell>
        </row>
        <row r="64">
          <cell r="D64" t="str">
            <v/>
          </cell>
        </row>
        <row r="65">
          <cell r="D65" t="str">
            <v/>
          </cell>
        </row>
        <row r="66">
          <cell r="D66" t="str">
            <v/>
          </cell>
        </row>
        <row r="67">
          <cell r="D67" t="str">
            <v/>
          </cell>
        </row>
        <row r="68">
          <cell r="D68" t="str">
            <v/>
          </cell>
        </row>
        <row r="69">
          <cell r="D69" t="str">
            <v/>
          </cell>
        </row>
        <row r="70">
          <cell r="D70" t="str">
            <v/>
          </cell>
        </row>
        <row r="71">
          <cell r="D71" t="str">
            <v/>
          </cell>
        </row>
        <row r="72">
          <cell r="D72" t="str">
            <v/>
          </cell>
        </row>
        <row r="73">
          <cell r="D73" t="str">
            <v/>
          </cell>
        </row>
        <row r="74">
          <cell r="D74" t="str">
            <v/>
          </cell>
        </row>
        <row r="75">
          <cell r="D75" t="str">
            <v/>
          </cell>
        </row>
        <row r="76">
          <cell r="D76" t="str">
            <v/>
          </cell>
        </row>
        <row r="77">
          <cell r="D77" t="str">
            <v/>
          </cell>
        </row>
        <row r="78">
          <cell r="D78" t="str">
            <v/>
          </cell>
        </row>
        <row r="79">
          <cell r="D79" t="str">
            <v/>
          </cell>
        </row>
        <row r="80">
          <cell r="D80" t="str">
            <v/>
          </cell>
        </row>
        <row r="81">
          <cell r="D81" t="str">
            <v/>
          </cell>
        </row>
        <row r="82">
          <cell r="D82" t="str">
            <v/>
          </cell>
        </row>
        <row r="83">
          <cell r="D83" t="str">
            <v/>
          </cell>
        </row>
        <row r="84">
          <cell r="D84" t="str">
            <v/>
          </cell>
        </row>
        <row r="85">
          <cell r="D85" t="str">
            <v/>
          </cell>
        </row>
        <row r="86">
          <cell r="D86" t="str">
            <v/>
          </cell>
        </row>
        <row r="87">
          <cell r="D87" t="str">
            <v/>
          </cell>
        </row>
        <row r="88">
          <cell r="D88" t="str">
            <v/>
          </cell>
        </row>
        <row r="89">
          <cell r="D89" t="str">
            <v/>
          </cell>
        </row>
        <row r="90">
          <cell r="D90" t="str">
            <v/>
          </cell>
        </row>
        <row r="91">
          <cell r="D91" t="str">
            <v/>
          </cell>
        </row>
        <row r="92">
          <cell r="D92" t="str">
            <v/>
          </cell>
        </row>
        <row r="93">
          <cell r="D93" t="str">
            <v/>
          </cell>
        </row>
        <row r="94">
          <cell r="D94" t="str">
            <v/>
          </cell>
        </row>
        <row r="95">
          <cell r="D95" t="str">
            <v/>
          </cell>
        </row>
        <row r="96">
          <cell r="D96" t="str">
            <v/>
          </cell>
        </row>
        <row r="97">
          <cell r="D97" t="str">
            <v/>
          </cell>
        </row>
        <row r="98">
          <cell r="D98" t="str">
            <v/>
          </cell>
        </row>
        <row r="99">
          <cell r="D99" t="str">
            <v/>
          </cell>
        </row>
        <row r="100">
          <cell r="D100" t="str">
            <v/>
          </cell>
        </row>
        <row r="101">
          <cell r="D101" t="str">
            <v/>
          </cell>
        </row>
        <row r="102">
          <cell r="D102" t="str">
            <v/>
          </cell>
        </row>
        <row r="103">
          <cell r="D103" t="str">
            <v/>
          </cell>
        </row>
        <row r="104">
          <cell r="D104" t="str">
            <v/>
          </cell>
        </row>
        <row r="105">
          <cell r="D105" t="str">
            <v/>
          </cell>
        </row>
        <row r="106">
          <cell r="D106" t="str">
            <v/>
          </cell>
        </row>
        <row r="107">
          <cell r="D107" t="str">
            <v/>
          </cell>
        </row>
        <row r="108">
          <cell r="D108" t="str">
            <v/>
          </cell>
        </row>
        <row r="109">
          <cell r="D109" t="str">
            <v/>
          </cell>
        </row>
        <row r="110">
          <cell r="D110" t="str">
            <v/>
          </cell>
        </row>
        <row r="111">
          <cell r="D111" t="str">
            <v/>
          </cell>
        </row>
        <row r="112">
          <cell r="D112" t="str">
            <v/>
          </cell>
        </row>
        <row r="113">
          <cell r="D113" t="str">
            <v/>
          </cell>
        </row>
        <row r="114">
          <cell r="D114" t="str">
            <v/>
          </cell>
        </row>
        <row r="115">
          <cell r="D115" t="str">
            <v/>
          </cell>
        </row>
        <row r="116">
          <cell r="D116" t="str">
            <v/>
          </cell>
        </row>
        <row r="117">
          <cell r="D117" t="str">
            <v/>
          </cell>
        </row>
        <row r="118">
          <cell r="D118" t="str">
            <v/>
          </cell>
        </row>
        <row r="119">
          <cell r="D119" t="str">
            <v/>
          </cell>
        </row>
        <row r="120">
          <cell r="D120" t="str">
            <v/>
          </cell>
        </row>
        <row r="121">
          <cell r="D121" t="str">
            <v/>
          </cell>
        </row>
        <row r="122">
          <cell r="D122" t="str">
            <v/>
          </cell>
        </row>
        <row r="123">
          <cell r="D123" t="str">
            <v/>
          </cell>
        </row>
        <row r="124">
          <cell r="D124" t="str">
            <v/>
          </cell>
        </row>
        <row r="125">
          <cell r="D125" t="str">
            <v/>
          </cell>
        </row>
        <row r="126">
          <cell r="D126" t="str">
            <v/>
          </cell>
        </row>
        <row r="127">
          <cell r="D127" t="str">
            <v/>
          </cell>
        </row>
        <row r="128">
          <cell r="D128" t="str">
            <v/>
          </cell>
        </row>
        <row r="129">
          <cell r="D129" t="str">
            <v/>
          </cell>
        </row>
        <row r="130">
          <cell r="D130" t="str">
            <v/>
          </cell>
        </row>
        <row r="131">
          <cell r="D131" t="str">
            <v/>
          </cell>
        </row>
        <row r="132">
          <cell r="D132" t="str">
            <v/>
          </cell>
        </row>
        <row r="133">
          <cell r="D133" t="str">
            <v/>
          </cell>
        </row>
        <row r="134">
          <cell r="D134" t="str">
            <v/>
          </cell>
        </row>
        <row r="135">
          <cell r="D135" t="str">
            <v/>
          </cell>
        </row>
        <row r="136">
          <cell r="D136" t="str">
            <v/>
          </cell>
        </row>
        <row r="137">
          <cell r="D137" t="str">
            <v/>
          </cell>
        </row>
        <row r="138">
          <cell r="D138" t="str">
            <v/>
          </cell>
        </row>
        <row r="139">
          <cell r="D139" t="str">
            <v/>
          </cell>
        </row>
        <row r="140">
          <cell r="D140" t="str">
            <v/>
          </cell>
        </row>
        <row r="141">
          <cell r="D141" t="str">
            <v/>
          </cell>
        </row>
        <row r="142">
          <cell r="D142" t="str">
            <v/>
          </cell>
        </row>
        <row r="143">
          <cell r="D143" t="str">
            <v/>
          </cell>
        </row>
        <row r="144">
          <cell r="D144" t="str">
            <v/>
          </cell>
        </row>
        <row r="145">
          <cell r="D145" t="str">
            <v/>
          </cell>
        </row>
        <row r="146">
          <cell r="D146" t="str">
            <v/>
          </cell>
        </row>
        <row r="147">
          <cell r="D147" t="str">
            <v/>
          </cell>
        </row>
        <row r="148">
          <cell r="D148" t="str">
            <v/>
          </cell>
        </row>
        <row r="149">
          <cell r="D149" t="str">
            <v/>
          </cell>
        </row>
        <row r="150">
          <cell r="D150" t="str">
            <v/>
          </cell>
        </row>
        <row r="151">
          <cell r="D151" t="str">
            <v/>
          </cell>
        </row>
        <row r="152">
          <cell r="D152" t="str">
            <v/>
          </cell>
        </row>
        <row r="153">
          <cell r="D153" t="str">
            <v/>
          </cell>
        </row>
        <row r="154">
          <cell r="D154" t="str">
            <v/>
          </cell>
        </row>
        <row r="155">
          <cell r="D155" t="str">
            <v/>
          </cell>
        </row>
        <row r="156">
          <cell r="D156" t="str">
            <v/>
          </cell>
        </row>
        <row r="157">
          <cell r="D157" t="str">
            <v/>
          </cell>
        </row>
        <row r="158">
          <cell r="D158" t="str">
            <v/>
          </cell>
        </row>
        <row r="159">
          <cell r="D159" t="str">
            <v/>
          </cell>
        </row>
        <row r="160">
          <cell r="D160" t="str">
            <v/>
          </cell>
        </row>
        <row r="161">
          <cell r="D161" t="str">
            <v/>
          </cell>
        </row>
        <row r="162">
          <cell r="D162" t="str">
            <v/>
          </cell>
        </row>
        <row r="163">
          <cell r="D163" t="str">
            <v/>
          </cell>
        </row>
        <row r="164">
          <cell r="D164" t="str">
            <v/>
          </cell>
        </row>
        <row r="165">
          <cell r="D165" t="str">
            <v/>
          </cell>
        </row>
        <row r="166">
          <cell r="D166" t="str">
            <v/>
          </cell>
        </row>
        <row r="167">
          <cell r="D167" t="str">
            <v/>
          </cell>
        </row>
        <row r="168">
          <cell r="D168" t="str">
            <v/>
          </cell>
        </row>
        <row r="169">
          <cell r="D169" t="str">
            <v/>
          </cell>
        </row>
        <row r="170">
          <cell r="D170" t="str">
            <v/>
          </cell>
        </row>
        <row r="171">
          <cell r="D171" t="str">
            <v/>
          </cell>
        </row>
        <row r="172">
          <cell r="D172" t="str">
            <v/>
          </cell>
        </row>
        <row r="173">
          <cell r="D173" t="str">
            <v/>
          </cell>
        </row>
        <row r="174">
          <cell r="D174" t="str">
            <v/>
          </cell>
        </row>
        <row r="175">
          <cell r="D175" t="str">
            <v/>
          </cell>
        </row>
        <row r="176">
          <cell r="D176" t="str">
            <v/>
          </cell>
        </row>
        <row r="177">
          <cell r="D177" t="str">
            <v/>
          </cell>
        </row>
        <row r="178">
          <cell r="D178" t="str">
            <v/>
          </cell>
        </row>
        <row r="179">
          <cell r="D179" t="str">
            <v/>
          </cell>
        </row>
        <row r="180">
          <cell r="D180" t="str">
            <v/>
          </cell>
        </row>
        <row r="181">
          <cell r="D181" t="str">
            <v/>
          </cell>
        </row>
        <row r="182">
          <cell r="D182" t="str">
            <v/>
          </cell>
        </row>
        <row r="183">
          <cell r="D183" t="str">
            <v/>
          </cell>
        </row>
        <row r="184">
          <cell r="D184" t="str">
            <v/>
          </cell>
        </row>
        <row r="185">
          <cell r="D185" t="str">
            <v/>
          </cell>
        </row>
        <row r="186">
          <cell r="D186" t="str">
            <v/>
          </cell>
        </row>
        <row r="187">
          <cell r="D187" t="str">
            <v/>
          </cell>
        </row>
        <row r="188">
          <cell r="D188" t="str">
            <v/>
          </cell>
        </row>
        <row r="189">
          <cell r="D189" t="str">
            <v/>
          </cell>
        </row>
        <row r="190">
          <cell r="D190" t="str">
            <v/>
          </cell>
        </row>
        <row r="191">
          <cell r="D191" t="str">
            <v/>
          </cell>
        </row>
        <row r="192">
          <cell r="D192" t="str">
            <v/>
          </cell>
        </row>
        <row r="193">
          <cell r="D193" t="str">
            <v/>
          </cell>
        </row>
        <row r="194">
          <cell r="D194" t="str">
            <v/>
          </cell>
        </row>
        <row r="195">
          <cell r="D195" t="str">
            <v/>
          </cell>
        </row>
        <row r="196">
          <cell r="D196" t="str">
            <v/>
          </cell>
        </row>
        <row r="197">
          <cell r="D197" t="str">
            <v/>
          </cell>
        </row>
        <row r="198">
          <cell r="D198" t="str">
            <v/>
          </cell>
        </row>
        <row r="199">
          <cell r="D199" t="str">
            <v/>
          </cell>
        </row>
        <row r="200">
          <cell r="D200" t="str">
            <v/>
          </cell>
        </row>
        <row r="201">
          <cell r="D201" t="str">
            <v/>
          </cell>
        </row>
        <row r="202">
          <cell r="D202" t="str">
            <v/>
          </cell>
        </row>
        <row r="203">
          <cell r="D203" t="str">
            <v/>
          </cell>
        </row>
        <row r="204">
          <cell r="D204" t="str">
            <v/>
          </cell>
        </row>
        <row r="205">
          <cell r="D205" t="str">
            <v/>
          </cell>
        </row>
        <row r="206">
          <cell r="D206" t="str">
            <v/>
          </cell>
        </row>
        <row r="207">
          <cell r="D207" t="str">
            <v/>
          </cell>
        </row>
        <row r="208">
          <cell r="D208" t="str">
            <v/>
          </cell>
        </row>
        <row r="209">
          <cell r="D209" t="str">
            <v/>
          </cell>
        </row>
        <row r="210">
          <cell r="D210" t="str">
            <v/>
          </cell>
        </row>
        <row r="211">
          <cell r="D211" t="str">
            <v/>
          </cell>
        </row>
        <row r="212">
          <cell r="D212" t="str">
            <v/>
          </cell>
        </row>
        <row r="213">
          <cell r="D213" t="str">
            <v/>
          </cell>
        </row>
        <row r="214">
          <cell r="D214" t="str">
            <v/>
          </cell>
        </row>
        <row r="215">
          <cell r="D215" t="str">
            <v/>
          </cell>
        </row>
        <row r="216">
          <cell r="D216" t="str">
            <v/>
          </cell>
        </row>
        <row r="217">
          <cell r="D217" t="str">
            <v/>
          </cell>
        </row>
        <row r="218">
          <cell r="D218" t="str">
            <v/>
          </cell>
        </row>
        <row r="219">
          <cell r="D219" t="str">
            <v/>
          </cell>
        </row>
        <row r="220">
          <cell r="D220" t="str">
            <v/>
          </cell>
        </row>
        <row r="221">
          <cell r="D221" t="str">
            <v/>
          </cell>
        </row>
        <row r="222">
          <cell r="D222" t="str">
            <v/>
          </cell>
        </row>
        <row r="223">
          <cell r="D223" t="str">
            <v/>
          </cell>
        </row>
        <row r="224">
          <cell r="D224" t="str">
            <v/>
          </cell>
        </row>
        <row r="225">
          <cell r="D225" t="str">
            <v/>
          </cell>
        </row>
        <row r="226">
          <cell r="D226" t="str">
            <v/>
          </cell>
        </row>
        <row r="227">
          <cell r="D227" t="str">
            <v/>
          </cell>
        </row>
        <row r="228">
          <cell r="D228" t="str">
            <v/>
          </cell>
        </row>
        <row r="229">
          <cell r="D229" t="str">
            <v/>
          </cell>
        </row>
        <row r="230">
          <cell r="D230" t="str">
            <v/>
          </cell>
        </row>
        <row r="231">
          <cell r="D231" t="str">
            <v/>
          </cell>
        </row>
        <row r="232">
          <cell r="D232" t="str">
            <v/>
          </cell>
        </row>
        <row r="233">
          <cell r="D233" t="str">
            <v/>
          </cell>
        </row>
        <row r="234">
          <cell r="D234" t="str">
            <v/>
          </cell>
        </row>
        <row r="235">
          <cell r="D235" t="str">
            <v/>
          </cell>
        </row>
        <row r="236">
          <cell r="D236" t="str">
            <v/>
          </cell>
        </row>
        <row r="237">
          <cell r="D237" t="str">
            <v/>
          </cell>
        </row>
        <row r="238">
          <cell r="D238" t="str">
            <v/>
          </cell>
        </row>
        <row r="239">
          <cell r="D239" t="str">
            <v/>
          </cell>
        </row>
        <row r="240">
          <cell r="D240" t="str">
            <v/>
          </cell>
        </row>
        <row r="241">
          <cell r="D241" t="str">
            <v/>
          </cell>
        </row>
        <row r="242">
          <cell r="D242" t="str">
            <v/>
          </cell>
        </row>
        <row r="243">
          <cell r="D243" t="str">
            <v/>
          </cell>
        </row>
        <row r="244">
          <cell r="D244" t="str">
            <v/>
          </cell>
        </row>
        <row r="245">
          <cell r="D245" t="str">
            <v/>
          </cell>
        </row>
        <row r="246">
          <cell r="D246" t="str">
            <v/>
          </cell>
        </row>
        <row r="247">
          <cell r="D247" t="str">
            <v/>
          </cell>
        </row>
        <row r="248">
          <cell r="D248" t="str">
            <v/>
          </cell>
        </row>
        <row r="249">
          <cell r="D249" t="str">
            <v/>
          </cell>
        </row>
        <row r="250">
          <cell r="D250" t="str">
            <v/>
          </cell>
        </row>
        <row r="251">
          <cell r="D251" t="str">
            <v/>
          </cell>
        </row>
        <row r="252">
          <cell r="D252" t="str">
            <v/>
          </cell>
        </row>
        <row r="253">
          <cell r="D253" t="str">
            <v/>
          </cell>
        </row>
        <row r="254">
          <cell r="D254" t="str">
            <v/>
          </cell>
        </row>
        <row r="255">
          <cell r="D255" t="str">
            <v/>
          </cell>
        </row>
        <row r="256">
          <cell r="D256" t="str">
            <v/>
          </cell>
        </row>
        <row r="257">
          <cell r="D257" t="str">
            <v/>
          </cell>
        </row>
        <row r="258">
          <cell r="D258" t="str">
            <v/>
          </cell>
        </row>
        <row r="259">
          <cell r="D259" t="str">
            <v/>
          </cell>
        </row>
        <row r="260">
          <cell r="D260" t="str">
            <v/>
          </cell>
        </row>
        <row r="261">
          <cell r="D261" t="str">
            <v/>
          </cell>
        </row>
        <row r="262">
          <cell r="D262" t="str">
            <v/>
          </cell>
        </row>
        <row r="263">
          <cell r="D263" t="str">
            <v/>
          </cell>
        </row>
        <row r="264">
          <cell r="D264" t="str">
            <v/>
          </cell>
        </row>
        <row r="265">
          <cell r="D265" t="str">
            <v/>
          </cell>
        </row>
        <row r="266">
          <cell r="D266" t="str">
            <v/>
          </cell>
        </row>
        <row r="267">
          <cell r="D267" t="str">
            <v/>
          </cell>
        </row>
        <row r="268">
          <cell r="D268" t="str">
            <v/>
          </cell>
        </row>
        <row r="269">
          <cell r="D269" t="str">
            <v/>
          </cell>
        </row>
        <row r="270">
          <cell r="D270" t="str">
            <v/>
          </cell>
        </row>
        <row r="271">
          <cell r="D271" t="str">
            <v/>
          </cell>
        </row>
        <row r="272">
          <cell r="D272" t="str">
            <v/>
          </cell>
        </row>
        <row r="273">
          <cell r="D273" t="str">
            <v/>
          </cell>
        </row>
        <row r="274">
          <cell r="D274" t="str">
            <v/>
          </cell>
        </row>
        <row r="275">
          <cell r="D275" t="str">
            <v/>
          </cell>
        </row>
        <row r="276">
          <cell r="D276" t="str">
            <v/>
          </cell>
        </row>
        <row r="277">
          <cell r="D277" t="str">
            <v/>
          </cell>
        </row>
        <row r="278">
          <cell r="D278" t="str">
            <v/>
          </cell>
        </row>
        <row r="279">
          <cell r="D279" t="str">
            <v/>
          </cell>
        </row>
        <row r="280">
          <cell r="D280" t="str">
            <v/>
          </cell>
        </row>
        <row r="281">
          <cell r="D281" t="str">
            <v/>
          </cell>
        </row>
        <row r="282">
          <cell r="D282" t="str">
            <v/>
          </cell>
        </row>
        <row r="283">
          <cell r="D283" t="str">
            <v/>
          </cell>
        </row>
        <row r="284">
          <cell r="D284" t="str">
            <v/>
          </cell>
        </row>
        <row r="285">
          <cell r="D285" t="str">
            <v/>
          </cell>
        </row>
        <row r="286">
          <cell r="D286" t="str">
            <v/>
          </cell>
        </row>
        <row r="287">
          <cell r="D287" t="str">
            <v/>
          </cell>
        </row>
        <row r="288">
          <cell r="D288" t="str">
            <v/>
          </cell>
        </row>
        <row r="289">
          <cell r="D289" t="str">
            <v/>
          </cell>
        </row>
        <row r="290">
          <cell r="D290" t="str">
            <v/>
          </cell>
        </row>
        <row r="291">
          <cell r="D291" t="str">
            <v/>
          </cell>
        </row>
        <row r="292">
          <cell r="D292" t="str">
            <v/>
          </cell>
        </row>
        <row r="293">
          <cell r="D293" t="str">
            <v/>
          </cell>
        </row>
        <row r="294">
          <cell r="D294" t="str">
            <v/>
          </cell>
        </row>
        <row r="295">
          <cell r="D295" t="str">
            <v/>
          </cell>
        </row>
        <row r="296">
          <cell r="D296" t="str">
            <v/>
          </cell>
        </row>
        <row r="297">
          <cell r="D297" t="str">
            <v/>
          </cell>
        </row>
        <row r="298">
          <cell r="D298" t="str">
            <v/>
          </cell>
        </row>
        <row r="299">
          <cell r="D299" t="str">
            <v/>
          </cell>
        </row>
        <row r="300">
          <cell r="D300" t="str">
            <v/>
          </cell>
        </row>
        <row r="301">
          <cell r="D301" t="str">
            <v/>
          </cell>
        </row>
        <row r="302">
          <cell r="D302" t="str">
            <v/>
          </cell>
        </row>
        <row r="303">
          <cell r="D303" t="str">
            <v/>
          </cell>
        </row>
        <row r="304">
          <cell r="D304" t="str">
            <v/>
          </cell>
        </row>
        <row r="305">
          <cell r="D305" t="str">
            <v/>
          </cell>
        </row>
        <row r="306">
          <cell r="D306" t="str">
            <v/>
          </cell>
        </row>
        <row r="307">
          <cell r="D307" t="str">
            <v/>
          </cell>
        </row>
        <row r="308">
          <cell r="D308" t="str">
            <v/>
          </cell>
        </row>
        <row r="309">
          <cell r="D309" t="str">
            <v/>
          </cell>
        </row>
        <row r="310">
          <cell r="D310" t="str">
            <v/>
          </cell>
        </row>
        <row r="311">
          <cell r="D311" t="str">
            <v/>
          </cell>
        </row>
        <row r="312">
          <cell r="D312" t="str">
            <v/>
          </cell>
        </row>
        <row r="313">
          <cell r="D313" t="str">
            <v/>
          </cell>
        </row>
        <row r="314">
          <cell r="D314" t="str">
            <v/>
          </cell>
        </row>
        <row r="315">
          <cell r="D315" t="str">
            <v/>
          </cell>
        </row>
        <row r="316">
          <cell r="D316" t="str">
            <v/>
          </cell>
        </row>
        <row r="317">
          <cell r="D317" t="str">
            <v/>
          </cell>
        </row>
        <row r="318">
          <cell r="D318" t="str">
            <v/>
          </cell>
        </row>
        <row r="319">
          <cell r="D319" t="str">
            <v/>
          </cell>
        </row>
        <row r="320">
          <cell r="D320" t="str">
            <v/>
          </cell>
        </row>
        <row r="321">
          <cell r="D321" t="str">
            <v/>
          </cell>
        </row>
        <row r="322">
          <cell r="D322" t="str">
            <v/>
          </cell>
        </row>
        <row r="323">
          <cell r="D323" t="str">
            <v/>
          </cell>
        </row>
        <row r="324">
          <cell r="D324" t="str">
            <v/>
          </cell>
        </row>
        <row r="325">
          <cell r="D325" t="str">
            <v/>
          </cell>
        </row>
        <row r="326">
          <cell r="D326" t="str">
            <v/>
          </cell>
        </row>
        <row r="327">
          <cell r="D327" t="str">
            <v/>
          </cell>
        </row>
        <row r="328">
          <cell r="D328" t="str">
            <v/>
          </cell>
        </row>
        <row r="329">
          <cell r="D329" t="str">
            <v/>
          </cell>
        </row>
        <row r="330">
          <cell r="D330" t="str">
            <v/>
          </cell>
        </row>
        <row r="331">
          <cell r="D331" t="str">
            <v/>
          </cell>
        </row>
        <row r="332">
          <cell r="D332" t="str">
            <v/>
          </cell>
        </row>
        <row r="333">
          <cell r="D333" t="str">
            <v/>
          </cell>
        </row>
        <row r="334">
          <cell r="D334" t="str">
            <v/>
          </cell>
        </row>
        <row r="335">
          <cell r="D335" t="str">
            <v/>
          </cell>
        </row>
        <row r="336">
          <cell r="D336" t="str">
            <v/>
          </cell>
        </row>
        <row r="337">
          <cell r="D337" t="str">
            <v/>
          </cell>
        </row>
        <row r="338">
          <cell r="D338" t="str">
            <v/>
          </cell>
        </row>
        <row r="339">
          <cell r="D339" t="str">
            <v/>
          </cell>
        </row>
        <row r="340">
          <cell r="D340" t="str">
            <v/>
          </cell>
        </row>
        <row r="341">
          <cell r="D341" t="str">
            <v/>
          </cell>
        </row>
        <row r="342">
          <cell r="D342" t="str">
            <v/>
          </cell>
        </row>
        <row r="343">
          <cell r="D343" t="str">
            <v/>
          </cell>
        </row>
        <row r="344">
          <cell r="D344" t="str">
            <v/>
          </cell>
        </row>
        <row r="345">
          <cell r="D345" t="str">
            <v/>
          </cell>
        </row>
        <row r="346">
          <cell r="D346" t="str">
            <v/>
          </cell>
        </row>
        <row r="347">
          <cell r="D347" t="str">
            <v/>
          </cell>
        </row>
        <row r="348">
          <cell r="D348" t="str">
            <v/>
          </cell>
        </row>
        <row r="349">
          <cell r="D349" t="str">
            <v/>
          </cell>
        </row>
        <row r="350">
          <cell r="D350" t="str">
            <v/>
          </cell>
        </row>
        <row r="351">
          <cell r="D351" t="str">
            <v/>
          </cell>
        </row>
        <row r="352">
          <cell r="D352" t="str">
            <v/>
          </cell>
        </row>
        <row r="353">
          <cell r="D353" t="str">
            <v/>
          </cell>
        </row>
        <row r="354">
          <cell r="D354" t="str">
            <v/>
          </cell>
        </row>
        <row r="355">
          <cell r="D355" t="str">
            <v/>
          </cell>
        </row>
        <row r="356">
          <cell r="D356" t="str">
            <v/>
          </cell>
        </row>
        <row r="357">
          <cell r="D357" t="str">
            <v/>
          </cell>
        </row>
        <row r="358">
          <cell r="D358" t="str">
            <v/>
          </cell>
        </row>
        <row r="359">
          <cell r="D359" t="str">
            <v/>
          </cell>
        </row>
        <row r="360">
          <cell r="D360" t="str">
            <v/>
          </cell>
        </row>
        <row r="361">
          <cell r="D361" t="str">
            <v/>
          </cell>
        </row>
        <row r="362">
          <cell r="D362" t="str">
            <v/>
          </cell>
        </row>
        <row r="363">
          <cell r="D363" t="str">
            <v/>
          </cell>
        </row>
        <row r="364">
          <cell r="D364" t="str">
            <v/>
          </cell>
        </row>
        <row r="365">
          <cell r="D365" t="str">
            <v/>
          </cell>
        </row>
        <row r="366">
          <cell r="D366" t="str">
            <v/>
          </cell>
        </row>
        <row r="367">
          <cell r="D367" t="str">
            <v/>
          </cell>
        </row>
        <row r="368">
          <cell r="D368" t="str">
            <v/>
          </cell>
        </row>
        <row r="369">
          <cell r="D369" t="str">
            <v/>
          </cell>
        </row>
        <row r="370">
          <cell r="D370" t="str">
            <v/>
          </cell>
        </row>
        <row r="371">
          <cell r="D371" t="str">
            <v/>
          </cell>
        </row>
        <row r="372">
          <cell r="D372" t="str">
            <v/>
          </cell>
        </row>
        <row r="373">
          <cell r="D373" t="str">
            <v/>
          </cell>
        </row>
        <row r="374">
          <cell r="D374" t="str">
            <v/>
          </cell>
        </row>
        <row r="375">
          <cell r="D375" t="str">
            <v/>
          </cell>
        </row>
        <row r="376">
          <cell r="D376" t="str">
            <v/>
          </cell>
        </row>
        <row r="377">
          <cell r="D377" t="str">
            <v/>
          </cell>
        </row>
        <row r="378">
          <cell r="D378" t="str">
            <v/>
          </cell>
        </row>
        <row r="379">
          <cell r="D379" t="str">
            <v/>
          </cell>
        </row>
        <row r="380">
          <cell r="D380" t="str">
            <v/>
          </cell>
        </row>
        <row r="381">
          <cell r="D381" t="str">
            <v/>
          </cell>
        </row>
        <row r="382">
          <cell r="D382" t="str">
            <v/>
          </cell>
        </row>
        <row r="383">
          <cell r="D383" t="str">
            <v/>
          </cell>
        </row>
        <row r="384">
          <cell r="D384" t="str">
            <v/>
          </cell>
        </row>
        <row r="385">
          <cell r="D385" t="str">
            <v/>
          </cell>
        </row>
        <row r="386">
          <cell r="D386" t="str">
            <v/>
          </cell>
        </row>
        <row r="387">
          <cell r="D387" t="str">
            <v/>
          </cell>
        </row>
        <row r="388">
          <cell r="D388" t="str">
            <v/>
          </cell>
        </row>
        <row r="389">
          <cell r="D389" t="str">
            <v/>
          </cell>
        </row>
        <row r="390">
          <cell r="D390" t="str">
            <v/>
          </cell>
        </row>
        <row r="391">
          <cell r="D391" t="str">
            <v/>
          </cell>
        </row>
        <row r="392">
          <cell r="D392" t="str">
            <v/>
          </cell>
        </row>
        <row r="393">
          <cell r="D393" t="str">
            <v/>
          </cell>
        </row>
        <row r="394">
          <cell r="D394" t="str">
            <v/>
          </cell>
        </row>
        <row r="395">
          <cell r="D395" t="str">
            <v/>
          </cell>
        </row>
        <row r="396">
          <cell r="D396" t="str">
            <v/>
          </cell>
        </row>
        <row r="397">
          <cell r="D397" t="str">
            <v/>
          </cell>
        </row>
        <row r="398">
          <cell r="D398" t="str">
            <v/>
          </cell>
        </row>
        <row r="399">
          <cell r="D399" t="str">
            <v/>
          </cell>
        </row>
        <row r="400">
          <cell r="D400" t="str">
            <v/>
          </cell>
        </row>
        <row r="401">
          <cell r="D401" t="str">
            <v/>
          </cell>
        </row>
        <row r="402">
          <cell r="D402" t="str">
            <v/>
          </cell>
        </row>
        <row r="403">
          <cell r="D403" t="str">
            <v/>
          </cell>
        </row>
        <row r="404">
          <cell r="D404" t="str">
            <v/>
          </cell>
        </row>
        <row r="405">
          <cell r="D405" t="str">
            <v/>
          </cell>
        </row>
        <row r="406">
          <cell r="D406" t="str">
            <v/>
          </cell>
        </row>
        <row r="407">
          <cell r="D407" t="str">
            <v/>
          </cell>
        </row>
        <row r="408">
          <cell r="D408" t="str">
            <v/>
          </cell>
        </row>
        <row r="409">
          <cell r="D409" t="str">
            <v/>
          </cell>
        </row>
        <row r="410">
          <cell r="D410" t="str">
            <v/>
          </cell>
        </row>
        <row r="411">
          <cell r="D411" t="str">
            <v/>
          </cell>
        </row>
        <row r="412">
          <cell r="D412" t="str">
            <v/>
          </cell>
        </row>
        <row r="413">
          <cell r="D413" t="str">
            <v/>
          </cell>
        </row>
        <row r="414">
          <cell r="D414" t="str">
            <v/>
          </cell>
        </row>
        <row r="415">
          <cell r="D415" t="str">
            <v/>
          </cell>
        </row>
        <row r="416">
          <cell r="D416" t="str">
            <v/>
          </cell>
        </row>
        <row r="417">
          <cell r="D417" t="str">
            <v/>
          </cell>
        </row>
        <row r="418">
          <cell r="D418" t="str">
            <v/>
          </cell>
        </row>
        <row r="419">
          <cell r="D419" t="str">
            <v/>
          </cell>
        </row>
        <row r="420">
          <cell r="D420" t="str">
            <v/>
          </cell>
        </row>
        <row r="421">
          <cell r="D421" t="str">
            <v/>
          </cell>
        </row>
        <row r="422">
          <cell r="D422" t="str">
            <v/>
          </cell>
        </row>
        <row r="423">
          <cell r="D423" t="str">
            <v/>
          </cell>
        </row>
        <row r="424">
          <cell r="D424" t="str">
            <v/>
          </cell>
        </row>
        <row r="425">
          <cell r="D425" t="str">
            <v/>
          </cell>
        </row>
        <row r="426">
          <cell r="D426" t="str">
            <v/>
          </cell>
        </row>
        <row r="427">
          <cell r="D427" t="str">
            <v/>
          </cell>
        </row>
        <row r="428">
          <cell r="D428" t="str">
            <v/>
          </cell>
        </row>
        <row r="429">
          <cell r="D429" t="str">
            <v/>
          </cell>
        </row>
        <row r="430">
          <cell r="D430" t="str">
            <v/>
          </cell>
        </row>
      </sheetData>
      <sheetData sheetId="2"/>
      <sheetData sheetId="3"/>
      <sheetData sheetId="4">
        <row r="2">
          <cell r="A2" t="str">
            <v>'4000100518</v>
          </cell>
          <cell r="B2" t="str">
            <v>BLOQUE DE COCO FINO 5KG/60L</v>
          </cell>
          <cell r="C2">
            <v>4.93</v>
          </cell>
          <cell r="D2">
            <v>5.75</v>
          </cell>
          <cell r="E2">
            <v>6.17</v>
          </cell>
          <cell r="F2">
            <v>1840</v>
          </cell>
        </row>
        <row r="3">
          <cell r="A3" t="str">
            <v>'4000100492</v>
          </cell>
          <cell r="B3" t="str">
            <v>JIFFY MACETA BIODEGRADABLE REDONDA 6.2X5.7 CJ2816</v>
          </cell>
          <cell r="C3">
            <v>88.4</v>
          </cell>
          <cell r="D3">
            <v>103.14</v>
          </cell>
          <cell r="E3">
            <v>110.51</v>
          </cell>
          <cell r="F3">
            <v>12</v>
          </cell>
        </row>
        <row r="4">
          <cell r="A4" t="str">
            <v>'4000100488</v>
          </cell>
          <cell r="B4" t="str">
            <v>JIFFY PELLET HORTÍCOLA 42X75-70 CJ840</v>
          </cell>
          <cell r="C4">
            <v>61.51</v>
          </cell>
          <cell r="D4">
            <v>71.760000000000005</v>
          </cell>
          <cell r="E4">
            <v>76.89</v>
          </cell>
          <cell r="F4">
            <v>14</v>
          </cell>
        </row>
        <row r="5">
          <cell r="A5" t="str">
            <v>'4000100495</v>
          </cell>
          <cell r="B5" t="str">
            <v>JIFFY PELLET HORTÍCOLA 50X150 BIO</v>
          </cell>
          <cell r="C5">
            <v>20.81</v>
          </cell>
          <cell r="D5">
            <v>24.28</v>
          </cell>
          <cell r="E5">
            <v>26.01</v>
          </cell>
          <cell r="F5">
            <v>167</v>
          </cell>
        </row>
        <row r="6">
          <cell r="A6" t="str">
            <v>'4000100496</v>
          </cell>
          <cell r="B6" t="str">
            <v>JIFFY PELLET HORTÍCOLA 50X150 BIO OSMO</v>
          </cell>
          <cell r="C6">
            <v>33.28</v>
          </cell>
          <cell r="D6">
            <v>38.82</v>
          </cell>
          <cell r="E6">
            <v>41.6</v>
          </cell>
          <cell r="F6">
            <v>212</v>
          </cell>
        </row>
        <row r="7">
          <cell r="A7" t="str">
            <v>'12757</v>
          </cell>
          <cell r="B7" t="str">
            <v>MANVERT AMINO 24 - FR1 (1L)</v>
          </cell>
          <cell r="C7">
            <v>17.5</v>
          </cell>
          <cell r="D7">
            <v>21</v>
          </cell>
          <cell r="E7">
            <v>21.7</v>
          </cell>
          <cell r="F7">
            <v>1888</v>
          </cell>
        </row>
        <row r="8">
          <cell r="A8" t="str">
            <v>'12759</v>
          </cell>
          <cell r="B8" t="str">
            <v>MANVERT AMINO 24 - GR5 (5L)</v>
          </cell>
          <cell r="C8">
            <v>56.25</v>
          </cell>
          <cell r="D8">
            <v>67.5</v>
          </cell>
          <cell r="E8">
            <v>69.75</v>
          </cell>
          <cell r="F8">
            <v>94</v>
          </cell>
        </row>
        <row r="9">
          <cell r="A9" t="str">
            <v>'4000100541</v>
          </cell>
          <cell r="B9" t="str">
            <v>MANVERT AZUMIX - FR1 (1L)</v>
          </cell>
          <cell r="C9">
            <v>15.5</v>
          </cell>
          <cell r="D9">
            <v>18.600000000000001</v>
          </cell>
          <cell r="E9">
            <v>19.22</v>
          </cell>
          <cell r="F9">
            <v>97</v>
          </cell>
        </row>
        <row r="10">
          <cell r="A10" t="str">
            <v>'4000100542</v>
          </cell>
          <cell r="B10" t="str">
            <v>MANVERT AZUMIX - GR5 (5L)</v>
          </cell>
          <cell r="C10">
            <v>70</v>
          </cell>
          <cell r="D10">
            <v>84</v>
          </cell>
          <cell r="E10">
            <v>86.8</v>
          </cell>
          <cell r="F10">
            <v>22</v>
          </cell>
        </row>
        <row r="11">
          <cell r="A11" t="str">
            <v>'12718</v>
          </cell>
          <cell r="B11" t="str">
            <v>MANVERT COMPLEX - FR1 (1L)</v>
          </cell>
          <cell r="C11">
            <v>12.5</v>
          </cell>
          <cell r="D11">
            <v>15</v>
          </cell>
          <cell r="E11">
            <v>15.5</v>
          </cell>
          <cell r="F11">
            <v>1653</v>
          </cell>
        </row>
        <row r="12">
          <cell r="A12" t="str">
            <v>'12716</v>
          </cell>
          <cell r="B12" t="str">
            <v>MANVERT COMPLEX - GR5 (5L)</v>
          </cell>
          <cell r="C12">
            <v>56.25</v>
          </cell>
          <cell r="D12">
            <v>67.5</v>
          </cell>
          <cell r="E12">
            <v>69.75</v>
          </cell>
          <cell r="F12">
            <v>38</v>
          </cell>
        </row>
        <row r="13">
          <cell r="A13" t="str">
            <v>'12787</v>
          </cell>
          <cell r="B13" t="str">
            <v>MANVERT H2O PLUS - (250G)</v>
          </cell>
          <cell r="C13">
            <v>5</v>
          </cell>
          <cell r="D13">
            <v>5</v>
          </cell>
          <cell r="E13">
            <v>5</v>
          </cell>
          <cell r="F13">
            <v>4652</v>
          </cell>
        </row>
        <row r="14">
          <cell r="A14" t="str">
            <v>'12665</v>
          </cell>
          <cell r="B14" t="str">
            <v>MANVERT MICONIC - FR1 (1L)</v>
          </cell>
          <cell r="C14">
            <v>25</v>
          </cell>
          <cell r="D14">
            <v>30</v>
          </cell>
          <cell r="E14">
            <v>31</v>
          </cell>
          <cell r="F14">
            <v>577</v>
          </cell>
        </row>
        <row r="15">
          <cell r="A15" t="str">
            <v>'4000100535</v>
          </cell>
          <cell r="B15" t="str">
            <v>MANVERT MICONIC - FR1 (5L)</v>
          </cell>
          <cell r="C15">
            <v>101.25</v>
          </cell>
          <cell r="D15">
            <v>101.25</v>
          </cell>
          <cell r="E15">
            <v>104.63</v>
          </cell>
          <cell r="F15">
            <v>141</v>
          </cell>
        </row>
        <row r="16">
          <cell r="A16" t="str">
            <v>'4000100536</v>
          </cell>
          <cell r="B16" t="str">
            <v>MANVERT MOVILI CA - 1KG</v>
          </cell>
          <cell r="C16">
            <v>43.75</v>
          </cell>
          <cell r="D16">
            <v>52.5</v>
          </cell>
          <cell r="E16">
            <v>54.25</v>
          </cell>
          <cell r="F16">
            <v>573</v>
          </cell>
        </row>
        <row r="17">
          <cell r="A17" t="str">
            <v>'4000100540</v>
          </cell>
          <cell r="B17" t="str">
            <v>MANVERT WIN-CA - GR5 (20L)</v>
          </cell>
          <cell r="C17">
            <v>130</v>
          </cell>
          <cell r="D17">
            <v>156</v>
          </cell>
          <cell r="E17">
            <v>161.19999999999999</v>
          </cell>
          <cell r="F17">
            <v>56</v>
          </cell>
        </row>
        <row r="18">
          <cell r="A18" t="str">
            <v>'4000100539</v>
          </cell>
          <cell r="B18" t="str">
            <v>MANVERT WIN-CA - GR5 (5L)</v>
          </cell>
          <cell r="C18">
            <v>34.380000000000003</v>
          </cell>
          <cell r="D18">
            <v>41.25</v>
          </cell>
          <cell r="E18">
            <v>42.63</v>
          </cell>
          <cell r="F18">
            <v>181</v>
          </cell>
        </row>
        <row r="19">
          <cell r="A19" t="str">
            <v>'4000100537</v>
          </cell>
          <cell r="B19" t="str">
            <v>MANVERT ZNB TRACKER - FR1 (1L)</v>
          </cell>
          <cell r="C19">
            <v>13.75</v>
          </cell>
          <cell r="D19">
            <v>16.5</v>
          </cell>
          <cell r="E19">
            <v>17.05</v>
          </cell>
          <cell r="F19">
            <v>394</v>
          </cell>
        </row>
        <row r="20">
          <cell r="A20" t="str">
            <v>'4000100538</v>
          </cell>
          <cell r="B20" t="str">
            <v>MANVERT ZNB TRACKER - GR5 (5L)</v>
          </cell>
          <cell r="C20">
            <v>65.63</v>
          </cell>
          <cell r="D20">
            <v>78.75</v>
          </cell>
          <cell r="E20">
            <v>81.38</v>
          </cell>
          <cell r="F20">
            <v>110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3B3D-4AEA-49E5-968E-1BB000D97BF9}">
  <dimension ref="A3:G225"/>
  <sheetViews>
    <sheetView showGridLines="0" tabSelected="1" workbookViewId="0">
      <selection activeCell="J21" sqref="J21"/>
    </sheetView>
  </sheetViews>
  <sheetFormatPr baseColWidth="10" defaultColWidth="11.42578125" defaultRowHeight="11.25" x14ac:dyDescent="0.15"/>
  <cols>
    <col min="1" max="1" width="5.5703125" style="1" bestFit="1" customWidth="1"/>
    <col min="2" max="2" width="24" style="87" bestFit="1" customWidth="1"/>
    <col min="3" max="3" width="50.85546875" style="2" bestFit="1" customWidth="1"/>
    <col min="4" max="4" width="6.85546875" style="2" bestFit="1" customWidth="1"/>
    <col min="5" max="5" width="11.85546875" style="2" bestFit="1" customWidth="1"/>
    <col min="6" max="6" width="8" style="88" bestFit="1" customWidth="1"/>
    <col min="7" max="7" width="47.7109375" style="2" customWidth="1"/>
    <col min="8" max="16384" width="11.42578125" style="2"/>
  </cols>
  <sheetData>
    <row r="3" spans="1:7" x14ac:dyDescent="0.15">
      <c r="B3" s="190"/>
      <c r="C3" s="190"/>
      <c r="D3" s="190"/>
      <c r="E3" s="190"/>
      <c r="F3" s="190"/>
      <c r="G3" s="190"/>
    </row>
    <row r="4" spans="1:7" x14ac:dyDescent="0.15">
      <c r="B4" s="3" t="s">
        <v>0</v>
      </c>
      <c r="C4" s="191" t="s">
        <v>1</v>
      </c>
      <c r="D4" s="191"/>
      <c r="E4" s="191"/>
      <c r="F4" s="191"/>
      <c r="G4" s="191"/>
    </row>
    <row r="5" spans="1:7" x14ac:dyDescent="0.15">
      <c r="A5" s="4"/>
      <c r="B5" s="5" t="s">
        <v>2</v>
      </c>
      <c r="C5" s="6" t="s">
        <v>3</v>
      </c>
      <c r="D5" s="7" t="s">
        <v>4</v>
      </c>
      <c r="E5" s="6" t="s">
        <v>5</v>
      </c>
      <c r="F5" s="8" t="s">
        <v>6</v>
      </c>
      <c r="G5" s="9" t="s">
        <v>7</v>
      </c>
    </row>
    <row r="6" spans="1:7" x14ac:dyDescent="0.15">
      <c r="A6" s="10"/>
      <c r="B6" s="11" t="s">
        <v>10</v>
      </c>
      <c r="C6" s="12" t="s">
        <v>11</v>
      </c>
      <c r="D6" s="13">
        <f>IFERROR(VLOOKUP($B6, [1]Preliminar!$A$2:$E$449, 3, FALSE), 0)</f>
        <v>14</v>
      </c>
      <c r="E6" s="14">
        <f>IFERROR(VLOOKUP($B6, [1]Sist.!$A$2:$F$1057, 6, FALSE), 0)</f>
        <v>14</v>
      </c>
      <c r="F6" s="15">
        <f t="shared" ref="F6:F69" si="0">D6-E6</f>
        <v>0</v>
      </c>
      <c r="G6" s="16"/>
    </row>
    <row r="7" spans="1:7" x14ac:dyDescent="0.15">
      <c r="A7" s="10"/>
      <c r="B7" s="17" t="s">
        <v>12</v>
      </c>
      <c r="C7" s="12" t="s">
        <v>13</v>
      </c>
      <c r="D7" s="13">
        <f>IFERROR(VLOOKUP($B7, [1]Preliminar!$A$2:$E$449, 3, FALSE), 0)</f>
        <v>1</v>
      </c>
      <c r="E7" s="14">
        <f>IFERROR(VLOOKUP($B7, [1]Sist.!$A$2:$F$1057, 6, FALSE), 0)</f>
        <v>1</v>
      </c>
      <c r="F7" s="15">
        <f t="shared" si="0"/>
        <v>0</v>
      </c>
      <c r="G7" s="18"/>
    </row>
    <row r="8" spans="1:7" x14ac:dyDescent="0.15">
      <c r="A8" s="10"/>
      <c r="B8" s="11" t="s">
        <v>14</v>
      </c>
      <c r="C8" s="12" t="s">
        <v>15</v>
      </c>
      <c r="D8" s="13">
        <f>IFERROR(VLOOKUP($B8, [1]Preliminar!$A$2:$E$449, 3, FALSE), 0)</f>
        <v>4</v>
      </c>
      <c r="E8" s="14">
        <f>IFERROR(VLOOKUP($B8, [1]Sist.!$A$2:$F$1057, 6, FALSE), 0)</f>
        <v>4</v>
      </c>
      <c r="F8" s="15">
        <f t="shared" si="0"/>
        <v>0</v>
      </c>
      <c r="G8" s="16"/>
    </row>
    <row r="9" spans="1:7" x14ac:dyDescent="0.15">
      <c r="A9" s="10"/>
      <c r="B9" s="17" t="s">
        <v>16</v>
      </c>
      <c r="C9" s="12" t="s">
        <v>17</v>
      </c>
      <c r="D9" s="13">
        <f>IFERROR(VLOOKUP($B9, [1]Preliminar!$A$2:$E$449, 3, FALSE), 0)</f>
        <v>4</v>
      </c>
      <c r="E9" s="14">
        <f>IFERROR(VLOOKUP($B9, [1]Sist.!$A$2:$F$1057, 6, FALSE), 0)</f>
        <v>4</v>
      </c>
      <c r="F9" s="15">
        <f t="shared" si="0"/>
        <v>0</v>
      </c>
      <c r="G9" s="19"/>
    </row>
    <row r="10" spans="1:7" x14ac:dyDescent="0.15">
      <c r="A10" s="10"/>
      <c r="B10" s="17" t="s">
        <v>18</v>
      </c>
      <c r="C10" s="20" t="s">
        <v>19</v>
      </c>
      <c r="D10" s="13">
        <f>IFERROR(VLOOKUP($B10, [1]Preliminar!$A$2:$E$449, 3, FALSE), 0)</f>
        <v>79</v>
      </c>
      <c r="E10" s="14">
        <f>IFERROR(VLOOKUP($B10, [1]Sist.!$A$2:$F$1057, 6, FALSE), 0)</f>
        <v>79</v>
      </c>
      <c r="F10" s="15">
        <f t="shared" si="0"/>
        <v>0</v>
      </c>
      <c r="G10" s="21"/>
    </row>
    <row r="11" spans="1:7" x14ac:dyDescent="0.15">
      <c r="A11" s="10"/>
      <c r="B11" s="17" t="s">
        <v>20</v>
      </c>
      <c r="C11" s="20" t="s">
        <v>21</v>
      </c>
      <c r="D11" s="13">
        <f>IFERROR(VLOOKUP($B11, [1]Preliminar!$A$2:$E$449, 3, FALSE), 0)</f>
        <v>38</v>
      </c>
      <c r="E11" s="14">
        <f>IFERROR(VLOOKUP($B11, [1]Sist.!$A$2:$F$1057, 6, FALSE), 0)</f>
        <v>38</v>
      </c>
      <c r="F11" s="15">
        <f t="shared" si="0"/>
        <v>0</v>
      </c>
      <c r="G11" s="16"/>
    </row>
    <row r="12" spans="1:7" x14ac:dyDescent="0.15">
      <c r="A12" s="10"/>
      <c r="B12" s="17" t="s">
        <v>22</v>
      </c>
      <c r="C12" s="20" t="s">
        <v>23</v>
      </c>
      <c r="D12" s="13">
        <f>IFERROR(VLOOKUP($B12, [1]Preliminar!$A$2:$E$449, 3, FALSE), 0)</f>
        <v>20</v>
      </c>
      <c r="E12" s="14">
        <f>IFERROR(VLOOKUP($B12, [1]Sist.!$A$2:$F$1057, 6, FALSE), 0)</f>
        <v>20</v>
      </c>
      <c r="F12" s="15">
        <f t="shared" si="0"/>
        <v>0</v>
      </c>
      <c r="G12" s="21"/>
    </row>
    <row r="13" spans="1:7" x14ac:dyDescent="0.15">
      <c r="A13" s="10"/>
      <c r="B13" s="22" t="s">
        <v>24</v>
      </c>
      <c r="C13" s="20" t="s">
        <v>25</v>
      </c>
      <c r="D13" s="13">
        <f>IFERROR(VLOOKUP($B13, [1]Preliminar!$A$2:$E$449, 3, FALSE), 0)</f>
        <v>2</v>
      </c>
      <c r="E13" s="14">
        <f>IFERROR(VLOOKUP($B13, [1]Sist.!$A$2:$F$1057, 6, FALSE), 0)</f>
        <v>2</v>
      </c>
      <c r="F13" s="15">
        <f t="shared" si="0"/>
        <v>0</v>
      </c>
      <c r="G13" s="16"/>
    </row>
    <row r="14" spans="1:7" x14ac:dyDescent="0.15">
      <c r="A14" s="10"/>
      <c r="B14" s="11" t="s">
        <v>26</v>
      </c>
      <c r="C14" s="12" t="s">
        <v>27</v>
      </c>
      <c r="D14" s="13">
        <f>IFERROR(VLOOKUP($B14, [1]Preliminar!$A$2:$E$449, 3, FALSE), 0)</f>
        <v>21</v>
      </c>
      <c r="E14" s="14">
        <f>IFERROR(VLOOKUP($B14, [1]Sist.!$A$2:$F$1057, 6, FALSE), 0)</f>
        <v>21</v>
      </c>
      <c r="F14" s="15">
        <f t="shared" si="0"/>
        <v>0</v>
      </c>
      <c r="G14" s="16"/>
    </row>
    <row r="15" spans="1:7" x14ac:dyDescent="0.15">
      <c r="A15" s="10"/>
      <c r="B15" s="17" t="s">
        <v>28</v>
      </c>
      <c r="C15" s="12" t="s">
        <v>29</v>
      </c>
      <c r="D15" s="23">
        <f>IFERROR(VLOOKUP($B15, [1]Preliminar!$A$2:$E$449, 3, FALSE), 0)</f>
        <v>76</v>
      </c>
      <c r="E15" s="24">
        <f>IFERROR(VLOOKUP($B15, [1]Sist.!$A$2:$F$1057, 6, FALSE), 0)</f>
        <v>76</v>
      </c>
      <c r="F15" s="15">
        <f t="shared" si="0"/>
        <v>0</v>
      </c>
      <c r="G15" s="21"/>
    </row>
    <row r="16" spans="1:7" x14ac:dyDescent="0.15">
      <c r="A16" s="10"/>
      <c r="B16" s="11" t="s">
        <v>30</v>
      </c>
      <c r="C16" s="12" t="s">
        <v>31</v>
      </c>
      <c r="D16" s="23">
        <f>IFERROR(VLOOKUP($B16, [1]Preliminar!$A$2:$E$449, 3, FALSE), 0)</f>
        <v>20</v>
      </c>
      <c r="E16" s="24">
        <f>IFERROR(VLOOKUP($B16, [1]Sist.!$A$2:$F$1057, 6, FALSE), 0)</f>
        <v>20</v>
      </c>
      <c r="F16" s="15">
        <f t="shared" si="0"/>
        <v>0</v>
      </c>
      <c r="G16" s="16"/>
    </row>
    <row r="17" spans="1:7" x14ac:dyDescent="0.15">
      <c r="A17" s="10"/>
      <c r="B17" s="25" t="s">
        <v>32</v>
      </c>
      <c r="C17" s="20" t="s">
        <v>33</v>
      </c>
      <c r="D17" s="13">
        <f>IFERROR(VLOOKUP($B17, [1]Preliminar!$A$2:$E$449, 3, FALSE), 0)</f>
        <v>1103</v>
      </c>
      <c r="E17" s="14">
        <f>IFERROR(VLOOKUP($B17, [1]Sist.!$A$2:$F$1057, 6, FALSE), 0)</f>
        <v>1103</v>
      </c>
      <c r="F17" s="15">
        <f t="shared" si="0"/>
        <v>0</v>
      </c>
      <c r="G17" s="16"/>
    </row>
    <row r="18" spans="1:7" x14ac:dyDescent="0.15">
      <c r="A18" s="10"/>
      <c r="B18" s="17" t="s">
        <v>34</v>
      </c>
      <c r="C18" s="20" t="s">
        <v>35</v>
      </c>
      <c r="D18" s="13">
        <f>IFERROR(VLOOKUP($B18, [1]Preliminar!$A$2:$E$449, 3, FALSE), 0)</f>
        <v>9</v>
      </c>
      <c r="E18" s="14">
        <f>IFERROR(VLOOKUP($B18, [1]Sist.!$A$2:$F$1057, 6, FALSE), 0)</f>
        <v>259</v>
      </c>
      <c r="F18" s="15">
        <f t="shared" si="0"/>
        <v>-250</v>
      </c>
      <c r="G18" s="16" t="s">
        <v>36</v>
      </c>
    </row>
    <row r="19" spans="1:7" x14ac:dyDescent="0.15">
      <c r="A19" s="10"/>
      <c r="B19" s="26" t="s">
        <v>37</v>
      </c>
      <c r="C19" s="20" t="s">
        <v>38</v>
      </c>
      <c r="D19" s="13">
        <f>IFERROR(VLOOKUP($B19, [1]Preliminar!$A$2:$E$449, 3, FALSE), 0)</f>
        <v>10</v>
      </c>
      <c r="E19" s="14">
        <f>IFERROR(VLOOKUP($B19, [1]Sist.!$A$2:$F$1057, 6, FALSE), 0)</f>
        <v>10</v>
      </c>
      <c r="F19" s="15">
        <f t="shared" si="0"/>
        <v>0</v>
      </c>
      <c r="G19" s="16"/>
    </row>
    <row r="20" spans="1:7" x14ac:dyDescent="0.15">
      <c r="A20" s="27"/>
      <c r="B20" s="17" t="s">
        <v>39</v>
      </c>
      <c r="C20" s="22" t="s">
        <v>40</v>
      </c>
      <c r="D20" s="13">
        <f>IFERROR(VLOOKUP($B20, [1]Preliminar!$A$2:$E$449, 3, FALSE), 0)</f>
        <v>10</v>
      </c>
      <c r="E20" s="14">
        <f>IFERROR(VLOOKUP($B20, [1]Sist.!$A$2:$F$1057, 6, FALSE), 0)</f>
        <v>10</v>
      </c>
      <c r="F20" s="15">
        <f t="shared" si="0"/>
        <v>0</v>
      </c>
      <c r="G20" s="16" t="s">
        <v>41</v>
      </c>
    </row>
    <row r="21" spans="1:7" x14ac:dyDescent="0.15">
      <c r="A21" s="27"/>
      <c r="B21" s="17" t="s">
        <v>42</v>
      </c>
      <c r="C21" s="12" t="s">
        <v>43</v>
      </c>
      <c r="D21" s="13">
        <f>IFERROR(VLOOKUP($B21, [1]Preliminar!$A$2:$E$449, 3, FALSE), 0)</f>
        <v>5</v>
      </c>
      <c r="E21" s="14">
        <f>IFERROR(VLOOKUP($B21, [1]Sist.!$A$2:$F$1057, 6, FALSE), 0)</f>
        <v>105</v>
      </c>
      <c r="F21" s="15">
        <f t="shared" si="0"/>
        <v>-100</v>
      </c>
      <c r="G21" s="16" t="s">
        <v>36</v>
      </c>
    </row>
    <row r="22" spans="1:7" x14ac:dyDescent="0.15">
      <c r="A22" s="10"/>
      <c r="B22" s="26" t="s">
        <v>44</v>
      </c>
      <c r="C22" s="12" t="s">
        <v>45</v>
      </c>
      <c r="D22" s="13">
        <f>IFERROR(VLOOKUP($B22, [1]Preliminar!$A$2:$E$449, 3, FALSE), 0)</f>
        <v>7</v>
      </c>
      <c r="E22" s="14">
        <f>IFERROR(VLOOKUP($B22, [1]Sist.!$A$2:$F$1057, 6, FALSE), 0)</f>
        <v>7</v>
      </c>
      <c r="F22" s="15">
        <f t="shared" si="0"/>
        <v>0</v>
      </c>
      <c r="G22" s="16"/>
    </row>
    <row r="23" spans="1:7" x14ac:dyDescent="0.15">
      <c r="A23" s="10"/>
      <c r="B23" s="17" t="s">
        <v>46</v>
      </c>
      <c r="C23" s="12" t="s">
        <v>47</v>
      </c>
      <c r="D23" s="13">
        <f>IFERROR(VLOOKUP($B23, [1]Preliminar!$A$2:$E$449, 3, FALSE), 0)</f>
        <v>4</v>
      </c>
      <c r="E23" s="14">
        <f>IFERROR(VLOOKUP($B23, [1]Sist.!$A$2:$F$1057, 6, FALSE), 0)</f>
        <v>4</v>
      </c>
      <c r="F23" s="15">
        <f t="shared" si="0"/>
        <v>0</v>
      </c>
      <c r="G23" s="16"/>
    </row>
    <row r="24" spans="1:7" x14ac:dyDescent="0.15">
      <c r="A24" s="10"/>
      <c r="B24" s="11" t="s">
        <v>48</v>
      </c>
      <c r="C24" s="12" t="s">
        <v>49</v>
      </c>
      <c r="D24" s="13">
        <f>IFERROR(VLOOKUP($B24, [1]Preliminar!$A$2:$E$449, 3, FALSE), 0)</f>
        <v>2946</v>
      </c>
      <c r="E24" s="14">
        <f>IFERROR(VLOOKUP($B24, [1]Sist.!$A$2:$F$1057, 6, FALSE), 0)</f>
        <v>2846</v>
      </c>
      <c r="F24" s="15">
        <f t="shared" si="0"/>
        <v>100</v>
      </c>
      <c r="G24" s="16" t="s">
        <v>50</v>
      </c>
    </row>
    <row r="25" spans="1:7" x14ac:dyDescent="0.15">
      <c r="A25" s="10"/>
      <c r="B25" s="17" t="s">
        <v>51</v>
      </c>
      <c r="C25" s="22" t="s">
        <v>52</v>
      </c>
      <c r="D25" s="13">
        <f>IFERROR(VLOOKUP($B25, [1]Preliminar!$A$2:$E$449, 3, FALSE), 0)</f>
        <v>0</v>
      </c>
      <c r="E25" s="14">
        <f>IFERROR(VLOOKUP($B25, [1]Sist.!$A$2:$F$1057, 6, FALSE), 0)</f>
        <v>250</v>
      </c>
      <c r="F25" s="15">
        <f t="shared" si="0"/>
        <v>-250</v>
      </c>
      <c r="G25" s="16" t="s">
        <v>36</v>
      </c>
    </row>
    <row r="26" spans="1:7" x14ac:dyDescent="0.15">
      <c r="A26" s="10"/>
      <c r="B26" s="17" t="s">
        <v>53</v>
      </c>
      <c r="C26" s="12" t="s">
        <v>54</v>
      </c>
      <c r="D26" s="13">
        <f>IFERROR(VLOOKUP($B26, [1]Preliminar!$A$2:$E$449, 3, FALSE), 0)</f>
        <v>0</v>
      </c>
      <c r="E26" s="14">
        <f>IFERROR(VLOOKUP($B26, [1]Sist.!$A$2:$F$1057, 6, FALSE), 0)</f>
        <v>100</v>
      </c>
      <c r="F26" s="15">
        <f t="shared" si="0"/>
        <v>-100</v>
      </c>
      <c r="G26" s="16" t="s">
        <v>36</v>
      </c>
    </row>
    <row r="27" spans="1:7" x14ac:dyDescent="0.15">
      <c r="A27" s="10"/>
      <c r="B27" s="11" t="s">
        <v>55</v>
      </c>
      <c r="C27" s="12" t="s">
        <v>56</v>
      </c>
      <c r="D27" s="13">
        <f>IFERROR(VLOOKUP($B27, [1]Preliminar!$A$2:$E$449, 3, FALSE), 0)</f>
        <v>1965</v>
      </c>
      <c r="E27" s="14">
        <f>IFERROR(VLOOKUP($B27, [1]Sist.!$A$2:$F$1057, 6, FALSE), 0)</f>
        <v>1750</v>
      </c>
      <c r="F27" s="15">
        <f t="shared" si="0"/>
        <v>215</v>
      </c>
      <c r="G27" s="16" t="s">
        <v>57</v>
      </c>
    </row>
    <row r="28" spans="1:7" x14ac:dyDescent="0.15">
      <c r="A28" s="10"/>
      <c r="B28" s="11" t="s">
        <v>58</v>
      </c>
      <c r="C28" s="12" t="s">
        <v>59</v>
      </c>
      <c r="D28" s="13">
        <f>IFERROR(VLOOKUP($B28, [1]Preliminar!$A$2:$E$449, 3, FALSE), 0)</f>
        <v>444</v>
      </c>
      <c r="E28" s="14">
        <f>IFERROR(VLOOKUP($B28, [1]Sist.!$A$2:$F$1057, 6, FALSE), 0)</f>
        <v>444</v>
      </c>
      <c r="F28" s="15">
        <f t="shared" si="0"/>
        <v>0</v>
      </c>
      <c r="G28" s="16"/>
    </row>
    <row r="29" spans="1:7" x14ac:dyDescent="0.15">
      <c r="A29" s="10"/>
      <c r="B29" s="17" t="s">
        <v>60</v>
      </c>
      <c r="C29" s="12" t="s">
        <v>61</v>
      </c>
      <c r="D29" s="13">
        <f>IFERROR(VLOOKUP($B29, [1]Preliminar!$A$2:$E$449, 3, FALSE), 0)</f>
        <v>1034</v>
      </c>
      <c r="E29" s="14">
        <f>IFERROR(VLOOKUP($B29, [1]Sist.!$A$2:$F$1057, 6, FALSE), 0)</f>
        <v>1040</v>
      </c>
      <c r="F29" s="15">
        <f t="shared" si="0"/>
        <v>-6</v>
      </c>
      <c r="G29" s="28" t="s">
        <v>62</v>
      </c>
    </row>
    <row r="30" spans="1:7" x14ac:dyDescent="0.15">
      <c r="A30" s="10"/>
      <c r="B30" s="11" t="s">
        <v>63</v>
      </c>
      <c r="C30" s="12" t="s">
        <v>64</v>
      </c>
      <c r="D30" s="13">
        <f>IFERROR(VLOOKUP($B30, [1]Preliminar!$A$2:$E$449, 3, FALSE), 0)</f>
        <v>177</v>
      </c>
      <c r="E30" s="14">
        <f>IFERROR(VLOOKUP($B30, [1]Sist.!$A$2:$F$1057, 6, FALSE), 0)</f>
        <v>177</v>
      </c>
      <c r="F30" s="15">
        <f t="shared" si="0"/>
        <v>0</v>
      </c>
      <c r="G30" s="16"/>
    </row>
    <row r="31" spans="1:7" x14ac:dyDescent="0.15">
      <c r="A31" s="10"/>
      <c r="B31" s="11" t="s">
        <v>65</v>
      </c>
      <c r="C31" s="12" t="s">
        <v>66</v>
      </c>
      <c r="D31" s="13">
        <f>IFERROR(VLOOKUP($B31, [1]Preliminar!$A$2:$E$449, 3, FALSE), 0)</f>
        <v>8</v>
      </c>
      <c r="E31" s="14">
        <f>IFERROR(VLOOKUP($B31, [1]Sist.!$A$2:$F$1057, 6, FALSE), 0)</f>
        <v>8</v>
      </c>
      <c r="F31" s="15">
        <f t="shared" si="0"/>
        <v>0</v>
      </c>
      <c r="G31" s="16"/>
    </row>
    <row r="32" spans="1:7" x14ac:dyDescent="0.15">
      <c r="A32" s="10"/>
      <c r="B32" s="11" t="s">
        <v>67</v>
      </c>
      <c r="C32" s="12" t="s">
        <v>68</v>
      </c>
      <c r="D32" s="13">
        <f>IFERROR(VLOOKUP($B32, [1]Preliminar!$A$2:$E$449, 3, FALSE), 0)</f>
        <v>60</v>
      </c>
      <c r="E32" s="14">
        <f>IFERROR(VLOOKUP($B32, [1]Sist.!$A$2:$F$1057, 6, FALSE), 0)</f>
        <v>60</v>
      </c>
      <c r="F32" s="15">
        <f t="shared" si="0"/>
        <v>0</v>
      </c>
      <c r="G32" s="16"/>
    </row>
    <row r="33" spans="1:7" x14ac:dyDescent="0.15">
      <c r="A33" s="29"/>
      <c r="B33" s="17" t="s">
        <v>69</v>
      </c>
      <c r="C33" s="12" t="s">
        <v>70</v>
      </c>
      <c r="D33" s="13">
        <f>IFERROR(VLOOKUP($B33, [1]Preliminar!$A$2:$E$449, 3, FALSE), 0)</f>
        <v>17785</v>
      </c>
      <c r="E33" s="14">
        <f>IFERROR(VLOOKUP($B33, [1]Sist.!$A$2:$F$1057, 6, FALSE), 0)</f>
        <v>17785</v>
      </c>
      <c r="F33" s="15">
        <f t="shared" si="0"/>
        <v>0</v>
      </c>
      <c r="G33" s="16"/>
    </row>
    <row r="34" spans="1:7" x14ac:dyDescent="0.15">
      <c r="A34" s="29"/>
      <c r="B34" s="20" t="s">
        <v>71</v>
      </c>
      <c r="C34" s="12" t="s">
        <v>72</v>
      </c>
      <c r="D34" s="13">
        <f>IFERROR(VLOOKUP($B34, [1]Preliminar!$A$2:$E$449, 3, FALSE), 0)</f>
        <v>1197</v>
      </c>
      <c r="E34" s="14">
        <f>IFERROR(VLOOKUP($B34, [1]Sist.!$A$2:$F$1057, 6, FALSE), 0)</f>
        <v>1197</v>
      </c>
      <c r="F34" s="15">
        <f t="shared" si="0"/>
        <v>0</v>
      </c>
      <c r="G34" s="16"/>
    </row>
    <row r="35" spans="1:7" x14ac:dyDescent="0.15">
      <c r="A35" s="10"/>
      <c r="B35" s="11" t="s">
        <v>73</v>
      </c>
      <c r="C35" s="12" t="s">
        <v>74</v>
      </c>
      <c r="D35" s="13">
        <f>IFERROR(VLOOKUP($B35, [1]Preliminar!$A$2:$E$449, 3, FALSE), 0)</f>
        <v>74</v>
      </c>
      <c r="E35" s="14">
        <f>IFERROR(VLOOKUP($B35, [1]Sist.!$A$2:$F$1057, 6, FALSE), 0)</f>
        <v>74</v>
      </c>
      <c r="F35" s="15">
        <f t="shared" si="0"/>
        <v>0</v>
      </c>
      <c r="G35" s="16"/>
    </row>
    <row r="36" spans="1:7" x14ac:dyDescent="0.15">
      <c r="A36" s="30"/>
      <c r="B36" s="11" t="s">
        <v>75</v>
      </c>
      <c r="C36" s="12" t="s">
        <v>76</v>
      </c>
      <c r="D36" s="13">
        <f>IFERROR(VLOOKUP($B36, [1]Preliminar!$A$2:$E$449, 3, FALSE), 0)</f>
        <v>1</v>
      </c>
      <c r="E36" s="14">
        <f>IFERROR(VLOOKUP($B36, [1]Sist.!$A$2:$F$1057, 6, FALSE), 0)</f>
        <v>1</v>
      </c>
      <c r="F36" s="15">
        <f t="shared" si="0"/>
        <v>0</v>
      </c>
      <c r="G36" s="16"/>
    </row>
    <row r="37" spans="1:7" x14ac:dyDescent="0.15">
      <c r="A37" s="10"/>
      <c r="B37" s="20" t="s">
        <v>77</v>
      </c>
      <c r="C37" s="12" t="s">
        <v>78</v>
      </c>
      <c r="D37" s="13">
        <f>IFERROR(VLOOKUP($B37, [1]Preliminar!$A$2:$E$449, 3, FALSE), 0)</f>
        <v>3284</v>
      </c>
      <c r="E37" s="14">
        <f>IFERROR(VLOOKUP($B37, [1]Sist.!$A$2:$F$1057, 6, FALSE), 0)</f>
        <v>3274</v>
      </c>
      <c r="F37" s="15">
        <f t="shared" si="0"/>
        <v>10</v>
      </c>
      <c r="G37" s="16" t="s">
        <v>79</v>
      </c>
    </row>
    <row r="38" spans="1:7" x14ac:dyDescent="0.15">
      <c r="A38" s="10"/>
      <c r="B38" s="17" t="s">
        <v>80</v>
      </c>
      <c r="C38" s="22" t="s">
        <v>81</v>
      </c>
      <c r="D38" s="13">
        <f>IFERROR(VLOOKUP($B38, [1]Preliminar!$A$2:$E$449, 3, FALSE), 0)</f>
        <v>2186</v>
      </c>
      <c r="E38" s="14">
        <f>IFERROR(VLOOKUP($B38, [1]Sist.!$A$2:$F$1057, 6, FALSE), 0)</f>
        <v>2186</v>
      </c>
      <c r="F38" s="15">
        <f t="shared" si="0"/>
        <v>0</v>
      </c>
      <c r="G38" s="16"/>
    </row>
    <row r="39" spans="1:7" x14ac:dyDescent="0.15">
      <c r="A39" s="10"/>
      <c r="B39" s="20" t="s">
        <v>82</v>
      </c>
      <c r="C39" s="22" t="s">
        <v>83</v>
      </c>
      <c r="D39" s="13">
        <f>IFERROR(VLOOKUP($B39, [1]Preliminar!$A$2:$E$449, 3, FALSE), 0)</f>
        <v>0</v>
      </c>
      <c r="E39" s="14">
        <f>IFERROR(VLOOKUP($B39, [1]Sist.!$A$2:$F$1057, 6, FALSE), 0)</f>
        <v>250</v>
      </c>
      <c r="F39" s="15">
        <f t="shared" si="0"/>
        <v>-250</v>
      </c>
      <c r="G39" s="16" t="s">
        <v>36</v>
      </c>
    </row>
    <row r="40" spans="1:7" x14ac:dyDescent="0.15">
      <c r="A40" s="10"/>
      <c r="B40" s="31" t="s">
        <v>84</v>
      </c>
      <c r="C40" s="22" t="s">
        <v>85</v>
      </c>
      <c r="D40" s="13">
        <f>IFERROR(VLOOKUP($B40, [1]Preliminar!$A$2:$E$449, 3, FALSE), 0)</f>
        <v>0</v>
      </c>
      <c r="E40" s="14">
        <f>IFERROR(VLOOKUP($B40, [1]Sist.!$A$2:$F$1057, 6, FALSE), 0)</f>
        <v>100</v>
      </c>
      <c r="F40" s="15">
        <f t="shared" si="0"/>
        <v>-100</v>
      </c>
      <c r="G40" s="16" t="s">
        <v>36</v>
      </c>
    </row>
    <row r="41" spans="1:7" x14ac:dyDescent="0.15">
      <c r="A41" s="10"/>
      <c r="B41" s="20" t="s">
        <v>86</v>
      </c>
      <c r="C41" s="22" t="s">
        <v>87</v>
      </c>
      <c r="D41" s="13">
        <f>IFERROR(VLOOKUP($B41, [1]Preliminar!$A$2:$E$449, 3, FALSE), 0)</f>
        <v>673</v>
      </c>
      <c r="E41" s="14">
        <f>IFERROR(VLOOKUP($B41, [1]Sist.!$A$2:$F$1057, 6, FALSE), 0)</f>
        <v>673</v>
      </c>
      <c r="F41" s="15">
        <f t="shared" si="0"/>
        <v>0</v>
      </c>
      <c r="G41" s="16"/>
    </row>
    <row r="42" spans="1:7" x14ac:dyDescent="0.15">
      <c r="A42" s="29"/>
      <c r="B42" s="17" t="s">
        <v>88</v>
      </c>
      <c r="C42" s="12" t="s">
        <v>89</v>
      </c>
      <c r="D42" s="13">
        <f>IFERROR(VLOOKUP($B42, [1]Preliminar!$A$2:$E$449, 3, FALSE), 0)</f>
        <v>1307</v>
      </c>
      <c r="E42" s="14">
        <f>IFERROR(VLOOKUP($B42, [1]Sist.!$A$2:$F$1057, 6, FALSE), 0)</f>
        <v>1307</v>
      </c>
      <c r="F42" s="15">
        <f t="shared" si="0"/>
        <v>0</v>
      </c>
      <c r="G42" s="16"/>
    </row>
    <row r="43" spans="1:7" x14ac:dyDescent="0.15">
      <c r="A43" s="29"/>
      <c r="B43" s="20" t="s">
        <v>90</v>
      </c>
      <c r="C43" s="12" t="s">
        <v>91</v>
      </c>
      <c r="D43" s="13">
        <f>IFERROR(VLOOKUP($B43, [1]Preliminar!$A$2:$E$449, 3, FALSE), 0)</f>
        <v>44</v>
      </c>
      <c r="E43" s="14">
        <f>IFERROR(VLOOKUP($B43, [1]Sist.!$A$2:$F$1057, 6, FALSE), 0)</f>
        <v>44</v>
      </c>
      <c r="F43" s="15">
        <f t="shared" si="0"/>
        <v>0</v>
      </c>
      <c r="G43" s="16"/>
    </row>
    <row r="44" spans="1:7" x14ac:dyDescent="0.15">
      <c r="A44" s="10"/>
      <c r="B44" s="17" t="s">
        <v>92</v>
      </c>
      <c r="C44" s="22" t="s">
        <v>93</v>
      </c>
      <c r="D44" s="32">
        <f>IFERROR(VLOOKUP($B44, [1]Preliminar!$A$2:$E$449, 3, FALSE), 0)</f>
        <v>180</v>
      </c>
      <c r="E44" s="33">
        <f>IFERROR(VLOOKUP($B44, [1]Sist.!$A$2:$F$1057, 6, FALSE), 0)</f>
        <v>180</v>
      </c>
      <c r="F44" s="34">
        <f t="shared" si="0"/>
        <v>0</v>
      </c>
      <c r="G44" s="35"/>
    </row>
    <row r="45" spans="1:7" x14ac:dyDescent="0.15">
      <c r="A45" s="10"/>
      <c r="B45" s="17" t="s">
        <v>94</v>
      </c>
      <c r="C45" s="22" t="s">
        <v>95</v>
      </c>
      <c r="D45" s="23">
        <f>IFERROR(VLOOKUP($B45, [1]Preliminar!$A$2:$E$449, 3, FALSE), 0)</f>
        <v>221</v>
      </c>
      <c r="E45" s="33">
        <f>IFERROR(VLOOKUP($B45, [1]Sist.!$A$2:$F$1057, 6, FALSE), 0)</f>
        <v>221</v>
      </c>
      <c r="F45" s="34">
        <f t="shared" si="0"/>
        <v>0</v>
      </c>
      <c r="G45" s="36"/>
    </row>
    <row r="46" spans="1:7" x14ac:dyDescent="0.15">
      <c r="A46" s="10"/>
      <c r="B46" s="37" t="s">
        <v>96</v>
      </c>
      <c r="C46" s="38" t="s">
        <v>97</v>
      </c>
      <c r="D46" s="39">
        <f>IFERROR(VLOOKUP($B46, [1]Preliminar!$A$2:$E$449, 3, FALSE), 0)</f>
        <v>1</v>
      </c>
      <c r="E46" s="33">
        <f>IFERROR(VLOOKUP($B46, [1]Sist.!$A$2:$F$1057, 6, FALSE), 0)</f>
        <v>1</v>
      </c>
      <c r="F46" s="34">
        <f t="shared" si="0"/>
        <v>0</v>
      </c>
      <c r="G46" s="40"/>
    </row>
    <row r="47" spans="1:7" x14ac:dyDescent="0.15">
      <c r="A47" s="29"/>
      <c r="B47" s="20" t="s">
        <v>98</v>
      </c>
      <c r="C47" s="12" t="s">
        <v>99</v>
      </c>
      <c r="D47" s="13">
        <f>IFERROR(VLOOKUP($B47, [1]Preliminar!$A$2:$E$449, 3, FALSE), 0)</f>
        <v>990</v>
      </c>
      <c r="E47" s="14">
        <f>IFERROR(VLOOKUP($B47, [1]Sist.!$A$2:$F$1057, 6, FALSE), 0)</f>
        <v>990</v>
      </c>
      <c r="F47" s="15">
        <f t="shared" si="0"/>
        <v>0</v>
      </c>
      <c r="G47" s="16"/>
    </row>
    <row r="48" spans="1:7" x14ac:dyDescent="0.15">
      <c r="A48" s="10"/>
      <c r="B48" s="17" t="s">
        <v>100</v>
      </c>
      <c r="C48" s="22" t="s">
        <v>101</v>
      </c>
      <c r="D48" s="13">
        <f>IFERROR(VLOOKUP($B48, [1]Preliminar!$A$2:$E$449, 3, FALSE), 0)</f>
        <v>187</v>
      </c>
      <c r="E48" s="14">
        <f>IFERROR(VLOOKUP($B48, [1]Sist.!$A$2:$F$1057, 6, FALSE), 0)</f>
        <v>187</v>
      </c>
      <c r="F48" s="15">
        <f t="shared" si="0"/>
        <v>0</v>
      </c>
      <c r="G48" s="16"/>
    </row>
    <row r="49" spans="1:7" x14ac:dyDescent="0.15">
      <c r="A49" s="10"/>
      <c r="B49" s="42" t="s">
        <v>102</v>
      </c>
      <c r="C49" s="22" t="s">
        <v>103</v>
      </c>
      <c r="D49" s="13">
        <f>IFERROR(VLOOKUP($B49, [1]Preliminar!$A$2:$E$449, 3, FALSE), 0)</f>
        <v>336</v>
      </c>
      <c r="E49" s="14">
        <f>IFERROR(VLOOKUP($B49, [1]Sist.!$A$2:$F$1057, 6, FALSE), 0)</f>
        <v>336</v>
      </c>
      <c r="F49" s="15">
        <f t="shared" si="0"/>
        <v>0</v>
      </c>
      <c r="G49" s="43" t="s">
        <v>104</v>
      </c>
    </row>
    <row r="50" spans="1:7" x14ac:dyDescent="0.15">
      <c r="A50" s="10"/>
      <c r="B50" s="17" t="s">
        <v>105</v>
      </c>
      <c r="C50" s="12" t="s">
        <v>106</v>
      </c>
      <c r="D50" s="13">
        <f>IFERROR(VLOOKUP($B50, [1]Preliminar!$A$2:$E$449, 3, FALSE), 0)</f>
        <v>1410</v>
      </c>
      <c r="E50" s="14">
        <f>IFERROR(VLOOKUP($B50, [1]Sist.!$A$2:$F$1057, 6, FALSE), 0)</f>
        <v>1410</v>
      </c>
      <c r="F50" s="15">
        <f t="shared" si="0"/>
        <v>0</v>
      </c>
      <c r="G50" s="16"/>
    </row>
    <row r="51" spans="1:7" x14ac:dyDescent="0.15">
      <c r="A51" s="10"/>
      <c r="B51" s="17" t="s">
        <v>107</v>
      </c>
      <c r="C51" s="22" t="s">
        <v>108</v>
      </c>
      <c r="D51" s="23">
        <f>IFERROR(VLOOKUP($B51, [1]Preliminar!$A$2:$E$449, 3, FALSE), 0)</f>
        <v>1</v>
      </c>
      <c r="E51" s="24">
        <f>IFERROR(VLOOKUP($B51, [1]Sist.!$A$2:$F$1057, 6, FALSE), 0)</f>
        <v>7</v>
      </c>
      <c r="F51" s="15">
        <f t="shared" si="0"/>
        <v>-6</v>
      </c>
      <c r="G51" s="19" t="s">
        <v>36</v>
      </c>
    </row>
    <row r="52" spans="1:7" x14ac:dyDescent="0.15">
      <c r="A52" s="10"/>
      <c r="B52" s="22" t="s">
        <v>109</v>
      </c>
      <c r="C52" s="22" t="s">
        <v>110</v>
      </c>
      <c r="D52" s="23">
        <f>IFERROR(VLOOKUP($B52, [1]Preliminar!$A$2:$E$449, 3, FALSE), 0)</f>
        <v>1</v>
      </c>
      <c r="E52" s="24">
        <f>IFERROR(VLOOKUP($B52, [1]Sist.!$A$2:$F$1057, 6, FALSE), 0)</f>
        <v>7</v>
      </c>
      <c r="F52" s="15">
        <f t="shared" si="0"/>
        <v>-6</v>
      </c>
      <c r="G52" s="19" t="s">
        <v>36</v>
      </c>
    </row>
    <row r="53" spans="1:7" x14ac:dyDescent="0.15">
      <c r="A53" s="10"/>
      <c r="B53" s="17" t="s">
        <v>111</v>
      </c>
      <c r="C53" s="22" t="s">
        <v>112</v>
      </c>
      <c r="D53" s="13">
        <f>IFERROR(VLOOKUP($B53, [1]Preliminar!$A$2:$E$449, 3, FALSE), 0)</f>
        <v>8</v>
      </c>
      <c r="E53" s="14">
        <f>IFERROR(VLOOKUP($B53, [1]Sist.!$A$2:$F$1057, 6, FALSE), 0)</f>
        <v>8</v>
      </c>
      <c r="F53" s="15">
        <f t="shared" si="0"/>
        <v>0</v>
      </c>
      <c r="G53" s="16"/>
    </row>
    <row r="54" spans="1:7" x14ac:dyDescent="0.15">
      <c r="A54" s="10"/>
      <c r="B54" s="44" t="s">
        <v>113</v>
      </c>
      <c r="C54" s="45" t="s">
        <v>114</v>
      </c>
      <c r="D54" s="13">
        <f>IFERROR(VLOOKUP($B54, [1]Preliminar!$A$2:$E$449, 3, FALSE), 0)</f>
        <v>176</v>
      </c>
      <c r="E54" s="14">
        <f>IFERROR(VLOOKUP($B54, [1]Sist.!$A$2:$F$1057, 6, FALSE), 0)</f>
        <v>141</v>
      </c>
      <c r="F54" s="15">
        <f t="shared" si="0"/>
        <v>35</v>
      </c>
      <c r="G54" s="16" t="s">
        <v>115</v>
      </c>
    </row>
    <row r="55" spans="1:7" ht="12" x14ac:dyDescent="0.2">
      <c r="A55" s="10"/>
      <c r="B55" s="46" t="s">
        <v>116</v>
      </c>
      <c r="C55" s="46" t="s">
        <v>117</v>
      </c>
      <c r="D55" s="13">
        <f>IFERROR(VLOOKUP($B55, [1]Preliminar!$A$2:$E$449, 3, FALSE), 0)</f>
        <v>416</v>
      </c>
      <c r="E55" s="14">
        <f>IFERROR(VLOOKUP($B55, [1]Sist.!$A$2:$F$1057, 6, FALSE), 0)</f>
        <v>416</v>
      </c>
      <c r="F55" s="15">
        <f t="shared" si="0"/>
        <v>0</v>
      </c>
      <c r="G55" s="16"/>
    </row>
    <row r="56" spans="1:7" x14ac:dyDescent="0.15">
      <c r="A56" s="10"/>
      <c r="B56" s="20" t="s">
        <v>118</v>
      </c>
      <c r="C56" s="20" t="s">
        <v>119</v>
      </c>
      <c r="D56" s="13">
        <f>IFERROR(VLOOKUP($B56, [1]Preliminar!$A$2:$E$449, 3, FALSE), 0)</f>
        <v>6599</v>
      </c>
      <c r="E56" s="14">
        <f>IFERROR(VLOOKUP($B56, [1]Sist.!$A$2:$F$1057, 6, FALSE), 0)</f>
        <v>6599</v>
      </c>
      <c r="F56" s="15">
        <f t="shared" si="0"/>
        <v>0</v>
      </c>
      <c r="G56" s="47"/>
    </row>
    <row r="57" spans="1:7" x14ac:dyDescent="0.15">
      <c r="A57" s="10"/>
      <c r="B57" s="20" t="s">
        <v>120</v>
      </c>
      <c r="C57" s="20" t="s">
        <v>121</v>
      </c>
      <c r="D57" s="13">
        <f>IFERROR(VLOOKUP($B57, [1]Preliminar!$A$2:$E$449, 3, FALSE), 0)</f>
        <v>956</v>
      </c>
      <c r="E57" s="14">
        <f>IFERROR(VLOOKUP($B57, [1]Sist.!$A$2:$F$1057, 6, FALSE), 0)</f>
        <v>956</v>
      </c>
      <c r="F57" s="15">
        <f t="shared" si="0"/>
        <v>0</v>
      </c>
      <c r="G57" s="47"/>
    </row>
    <row r="58" spans="1:7" x14ac:dyDescent="0.15">
      <c r="A58" s="10"/>
      <c r="B58" s="20" t="s">
        <v>122</v>
      </c>
      <c r="C58" s="20" t="s">
        <v>123</v>
      </c>
      <c r="D58" s="13">
        <f>IFERROR(VLOOKUP($B58, [1]Preliminar!$A$2:$E$449, 3, FALSE), 0)</f>
        <v>680</v>
      </c>
      <c r="E58" s="14">
        <f>IFERROR(VLOOKUP($B58, [1]Sist.!$A$2:$F$1057, 6, FALSE), 0)</f>
        <v>680</v>
      </c>
      <c r="F58" s="15">
        <f t="shared" si="0"/>
        <v>0</v>
      </c>
      <c r="G58" s="48" t="s">
        <v>124</v>
      </c>
    </row>
    <row r="59" spans="1:7" ht="12" thickBot="1" x14ac:dyDescent="0.2">
      <c r="A59" s="10"/>
      <c r="B59" s="49" t="s">
        <v>125</v>
      </c>
      <c r="C59" s="49" t="s">
        <v>126</v>
      </c>
      <c r="D59" s="50">
        <f>IFERROR(VLOOKUP($B59, [1]Preliminar!$A$2:$E$449, 3, FALSE), 0)</f>
        <v>77</v>
      </c>
      <c r="E59" s="51">
        <f>IFERROR(VLOOKUP($B59, [1]Sist.!$A$2:$F$1057, 6, FALSE), 0)</f>
        <v>77</v>
      </c>
      <c r="F59" s="52">
        <f t="shared" si="0"/>
        <v>0</v>
      </c>
      <c r="G59" s="53"/>
    </row>
    <row r="60" spans="1:7" ht="12" hidden="1" thickTop="1" x14ac:dyDescent="0.15">
      <c r="A60" s="10"/>
      <c r="B60" s="55" t="s">
        <v>127</v>
      </c>
      <c r="C60" s="56" t="s">
        <v>128</v>
      </c>
      <c r="D60" s="57">
        <f>IFERROR(VLOOKUP($B60, [1]Preliminar!$A$2:$E$449, 3, FALSE), 0)</f>
        <v>0</v>
      </c>
      <c r="E60" s="58">
        <f>IFERROR(VLOOKUP($B60, [1]Sist.!$A$2:$F$1057, 6, FALSE), 0)</f>
        <v>0</v>
      </c>
      <c r="F60" s="59">
        <f t="shared" si="0"/>
        <v>0</v>
      </c>
      <c r="G60" s="60"/>
    </row>
    <row r="61" spans="1:7" ht="12" hidden="1" thickTop="1" x14ac:dyDescent="0.15">
      <c r="A61" s="61"/>
      <c r="B61" s="62" t="s">
        <v>129</v>
      </c>
      <c r="C61" s="63" t="s">
        <v>130</v>
      </c>
      <c r="D61" s="41">
        <f>IFERROR(VLOOKUP($B61, [1]Preliminar!$A$2:$E$449, 3, FALSE), 0)</f>
        <v>0</v>
      </c>
      <c r="E61" s="41">
        <f>IFERROR(VLOOKUP($B61, [1]Sist.!$A$2:$F$1057, 6, FALSE), 0)</f>
        <v>0</v>
      </c>
      <c r="F61" s="64">
        <f t="shared" si="0"/>
        <v>0</v>
      </c>
      <c r="G61" s="65"/>
    </row>
    <row r="62" spans="1:7" ht="12" hidden="1" thickTop="1" x14ac:dyDescent="0.15">
      <c r="A62" s="10"/>
      <c r="B62" s="17" t="s">
        <v>131</v>
      </c>
      <c r="C62" s="20" t="s">
        <v>132</v>
      </c>
      <c r="D62" s="33">
        <f>IFERROR(VLOOKUP($B62, [1]Preliminar!$A$2:$E$449, 3, FALSE), 0)</f>
        <v>0</v>
      </c>
      <c r="E62" s="33">
        <f>IFERROR(VLOOKUP($B62, [1]Sist.!$A$2:$F$1057, 6, FALSE), 0)</f>
        <v>0</v>
      </c>
      <c r="F62" s="66">
        <f t="shared" si="0"/>
        <v>0</v>
      </c>
      <c r="G62" s="67"/>
    </row>
    <row r="63" spans="1:7" ht="12" hidden="1" thickTop="1" x14ac:dyDescent="0.15">
      <c r="A63" s="10"/>
      <c r="B63" s="17" t="s">
        <v>133</v>
      </c>
      <c r="C63" s="12" t="s">
        <v>134</v>
      </c>
      <c r="D63" s="13">
        <f>IFERROR(VLOOKUP($B63, [1]Preliminar!$A$2:$E$449, 3, FALSE), 0)</f>
        <v>0</v>
      </c>
      <c r="E63" s="14">
        <f>IFERROR(VLOOKUP($B63, [1]Sist.!$A$2:$F$1057, 6, FALSE), 0)</f>
        <v>0</v>
      </c>
      <c r="F63" s="15">
        <f>D63-E63</f>
        <v>0</v>
      </c>
      <c r="G63" s="16"/>
    </row>
    <row r="64" spans="1:7" ht="12" hidden="1" thickTop="1" x14ac:dyDescent="0.15">
      <c r="A64" s="10"/>
      <c r="B64" s="17" t="s">
        <v>135</v>
      </c>
      <c r="C64" s="20" t="s">
        <v>136</v>
      </c>
      <c r="D64" s="33">
        <f>IFERROR(VLOOKUP($B64, [1]Preliminar!$A$2:$E$449, 3, FALSE), 0)</f>
        <v>0</v>
      </c>
      <c r="E64" s="33">
        <f>IFERROR(VLOOKUP($B64, [1]Sist.!$A$2:$F$1057, 6, FALSE), 0)</f>
        <v>0</v>
      </c>
      <c r="F64" s="66">
        <f t="shared" si="0"/>
        <v>0</v>
      </c>
      <c r="G64" s="67"/>
    </row>
    <row r="65" spans="1:7" ht="12" hidden="1" thickTop="1" x14ac:dyDescent="0.15">
      <c r="A65" s="27"/>
      <c r="B65" s="17" t="s">
        <v>137</v>
      </c>
      <c r="C65" s="20" t="s">
        <v>138</v>
      </c>
      <c r="D65" s="33">
        <f>IFERROR(VLOOKUP($B65, [1]Preliminar!$A$2:$E$449, 3, FALSE), 0)</f>
        <v>0</v>
      </c>
      <c r="E65" s="33">
        <f>IFERROR(VLOOKUP($B65, [1]Sist.!$A$2:$F$1057, 6, FALSE), 0)</f>
        <v>0</v>
      </c>
      <c r="F65" s="66">
        <f t="shared" si="0"/>
        <v>0</v>
      </c>
      <c r="G65" s="67"/>
    </row>
    <row r="66" spans="1:7" ht="12" hidden="1" thickTop="1" x14ac:dyDescent="0.15">
      <c r="A66" s="10"/>
      <c r="B66" s="17" t="s">
        <v>139</v>
      </c>
      <c r="C66" s="20" t="s">
        <v>140</v>
      </c>
      <c r="D66" s="33">
        <f>IFERROR(VLOOKUP($B66, [1]Preliminar!$A$2:$E$449, 3, FALSE), 0)</f>
        <v>0</v>
      </c>
      <c r="E66" s="33">
        <f>IFERROR(VLOOKUP($B66, [1]Sist.!$A$2:$F$1057, 6, FALSE), 0)</f>
        <v>0</v>
      </c>
      <c r="F66" s="66">
        <f t="shared" si="0"/>
        <v>0</v>
      </c>
      <c r="G66" s="67"/>
    </row>
    <row r="67" spans="1:7" ht="12" hidden="1" thickTop="1" x14ac:dyDescent="0.15">
      <c r="A67" s="10"/>
      <c r="B67" s="17" t="s">
        <v>141</v>
      </c>
      <c r="C67" s="20" t="s">
        <v>142</v>
      </c>
      <c r="D67" s="33">
        <f>IFERROR(VLOOKUP($B67, [1]Preliminar!$A$2:$E$449, 3, FALSE), 0)</f>
        <v>0</v>
      </c>
      <c r="E67" s="33">
        <f>IFERROR(VLOOKUP($B67, [1]Sist.!$A$2:$F$1057, 6, FALSE), 0)</f>
        <v>0</v>
      </c>
      <c r="F67" s="66">
        <f t="shared" si="0"/>
        <v>0</v>
      </c>
      <c r="G67" s="67"/>
    </row>
    <row r="68" spans="1:7" ht="12" hidden="1" thickTop="1" x14ac:dyDescent="0.15">
      <c r="A68" s="10"/>
      <c r="B68" s="17" t="s">
        <v>143</v>
      </c>
      <c r="C68" s="20" t="s">
        <v>144</v>
      </c>
      <c r="D68" s="33">
        <f>IFERROR(VLOOKUP($B68, [1]Preliminar!$A$2:$E$449, 3, FALSE), 0)</f>
        <v>0</v>
      </c>
      <c r="E68" s="33">
        <f>IFERROR(VLOOKUP($B68, [1]Sist.!$A$2:$F$1057, 6, FALSE), 0)</f>
        <v>0</v>
      </c>
      <c r="F68" s="66">
        <f t="shared" si="0"/>
        <v>0</v>
      </c>
      <c r="G68" s="67"/>
    </row>
    <row r="69" spans="1:7" ht="12" hidden="1" thickTop="1" x14ac:dyDescent="0.15">
      <c r="A69" s="10"/>
      <c r="B69" s="17" t="s">
        <v>145</v>
      </c>
      <c r="C69" s="20" t="s">
        <v>146</v>
      </c>
      <c r="D69" s="33">
        <f>IFERROR(VLOOKUP($B69, [1]Preliminar!$A$2:$E$449, 3, FALSE), 0)</f>
        <v>0</v>
      </c>
      <c r="E69" s="33">
        <f>IFERROR(VLOOKUP($B69, [1]Sist.!$A$2:$F$1057, 6, FALSE), 0)</f>
        <v>0</v>
      </c>
      <c r="F69" s="66">
        <f t="shared" si="0"/>
        <v>0</v>
      </c>
      <c r="G69" s="67"/>
    </row>
    <row r="70" spans="1:7" ht="12" hidden="1" thickTop="1" x14ac:dyDescent="0.15">
      <c r="A70" s="10"/>
      <c r="B70" s="17" t="s">
        <v>147</v>
      </c>
      <c r="C70" s="20" t="s">
        <v>148</v>
      </c>
      <c r="D70" s="33">
        <f>IFERROR(VLOOKUP($B70, [1]Preliminar!$A$2:$E$449, 3, FALSE), 0)</f>
        <v>0</v>
      </c>
      <c r="E70" s="33">
        <f>IFERROR(VLOOKUP($B70, [1]Sist.!$A$2:$F$1057, 6, FALSE), 0)</f>
        <v>0</v>
      </c>
      <c r="F70" s="66">
        <f t="shared" ref="F70:F109" si="1">D70-E70</f>
        <v>0</v>
      </c>
      <c r="G70" s="67"/>
    </row>
    <row r="71" spans="1:7" ht="12" hidden="1" thickTop="1" x14ac:dyDescent="0.15">
      <c r="A71" s="27"/>
      <c r="B71" s="17" t="s">
        <v>149</v>
      </c>
      <c r="C71" s="20" t="s">
        <v>150</v>
      </c>
      <c r="D71" s="33">
        <f>IFERROR(VLOOKUP($B71, [1]Preliminar!$A$2:$E$449, 3, FALSE), 0)</f>
        <v>0</v>
      </c>
      <c r="E71" s="33">
        <f>IFERROR(VLOOKUP($B71, [1]Sist.!$A$2:$F$1057, 6, FALSE), 0)</f>
        <v>0</v>
      </c>
      <c r="F71" s="66">
        <f t="shared" si="1"/>
        <v>0</v>
      </c>
      <c r="G71" s="67"/>
    </row>
    <row r="72" spans="1:7" ht="12" hidden="1" thickTop="1" x14ac:dyDescent="0.15">
      <c r="A72" s="10"/>
      <c r="B72" s="17" t="s">
        <v>151</v>
      </c>
      <c r="C72" s="20" t="s">
        <v>152</v>
      </c>
      <c r="D72" s="33">
        <f>IFERROR(VLOOKUP($B72, [1]Preliminar!$A$2:$E$449, 3, FALSE), 0)</f>
        <v>0</v>
      </c>
      <c r="E72" s="33">
        <f>IFERROR(VLOOKUP($B72, [1]Sist.!$A$2:$F$1057, 6, FALSE), 0)</f>
        <v>0</v>
      </c>
      <c r="F72" s="66">
        <f t="shared" si="1"/>
        <v>0</v>
      </c>
      <c r="G72" s="67"/>
    </row>
    <row r="73" spans="1:7" ht="12" hidden="1" thickTop="1" x14ac:dyDescent="0.15">
      <c r="A73" s="10"/>
      <c r="B73" s="17" t="s">
        <v>153</v>
      </c>
      <c r="C73" s="20" t="s">
        <v>154</v>
      </c>
      <c r="D73" s="33">
        <f>IFERROR(VLOOKUP($B73, [1]Preliminar!$A$2:$E$449, 3, FALSE), 0)</f>
        <v>0</v>
      </c>
      <c r="E73" s="33">
        <f>IFERROR(VLOOKUP($B73, [1]Sist.!$A$2:$F$1057, 6, FALSE), 0)</f>
        <v>0</v>
      </c>
      <c r="F73" s="66">
        <f t="shared" si="1"/>
        <v>0</v>
      </c>
      <c r="G73" s="67"/>
    </row>
    <row r="74" spans="1:7" ht="12" hidden="1" thickTop="1" x14ac:dyDescent="0.15">
      <c r="A74" s="10"/>
      <c r="B74" s="17" t="s">
        <v>155</v>
      </c>
      <c r="C74" s="20" t="s">
        <v>156</v>
      </c>
      <c r="D74" s="33">
        <f>IFERROR(VLOOKUP($B74, [1]Preliminar!$A$2:$E$449, 3, FALSE), 0)</f>
        <v>0</v>
      </c>
      <c r="E74" s="33">
        <f>IFERROR(VLOOKUP($B74, [1]Sist.!$A$2:$F$1057, 6, FALSE), 0)</f>
        <v>0</v>
      </c>
      <c r="F74" s="66">
        <f t="shared" si="1"/>
        <v>0</v>
      </c>
      <c r="G74" s="68"/>
    </row>
    <row r="75" spans="1:7" ht="12" hidden="1" thickTop="1" x14ac:dyDescent="0.15">
      <c r="A75" s="10"/>
      <c r="B75" s="25" t="s">
        <v>157</v>
      </c>
      <c r="C75" s="20" t="s">
        <v>158</v>
      </c>
      <c r="D75" s="33">
        <f>IFERROR(VLOOKUP($B75, [1]Preliminar!$A$2:$E$449, 3, FALSE), 0)</f>
        <v>0</v>
      </c>
      <c r="E75" s="33">
        <f>IFERROR(VLOOKUP($B75, [1]Sist.!$A$2:$F$1057, 6, FALSE), 0)</f>
        <v>0</v>
      </c>
      <c r="F75" s="66">
        <f t="shared" si="1"/>
        <v>0</v>
      </c>
      <c r="G75" s="67"/>
    </row>
    <row r="76" spans="1:7" ht="12" hidden="1" thickTop="1" x14ac:dyDescent="0.15">
      <c r="A76" s="10"/>
      <c r="B76" s="17" t="s">
        <v>159</v>
      </c>
      <c r="C76" s="20" t="s">
        <v>160</v>
      </c>
      <c r="D76" s="33">
        <f>IFERROR(VLOOKUP($B76, [1]Preliminar!$A$2:$E$449, 3, FALSE), 0)</f>
        <v>0</v>
      </c>
      <c r="E76" s="33">
        <f>IFERROR(VLOOKUP($B76, [1]Sist.!$A$2:$F$1057, 6, FALSE), 0)</f>
        <v>0</v>
      </c>
      <c r="F76" s="66">
        <f t="shared" si="1"/>
        <v>0</v>
      </c>
      <c r="G76" s="67"/>
    </row>
    <row r="77" spans="1:7" ht="12" hidden="1" thickTop="1" x14ac:dyDescent="0.15">
      <c r="A77" s="10"/>
      <c r="B77" s="17" t="s">
        <v>161</v>
      </c>
      <c r="C77" s="22" t="s">
        <v>162</v>
      </c>
      <c r="D77" s="13">
        <f>IFERROR(VLOOKUP($B77, [1]Preliminar!$A$2:$E$449, 3, FALSE), 0)</f>
        <v>0</v>
      </c>
      <c r="E77" s="14">
        <f>IFERROR(VLOOKUP($B77, [1]Sist.!$A$2:$F$1057, 6, FALSE), 0)</f>
        <v>0</v>
      </c>
      <c r="F77" s="15">
        <f>D77-E77</f>
        <v>0</v>
      </c>
      <c r="G77" s="16"/>
    </row>
    <row r="78" spans="1:7" ht="12" hidden="1" thickTop="1" x14ac:dyDescent="0.15">
      <c r="A78" s="10"/>
      <c r="B78" s="17" t="s">
        <v>163</v>
      </c>
      <c r="C78" s="20" t="s">
        <v>164</v>
      </c>
      <c r="D78" s="33">
        <f>IFERROR(VLOOKUP($B78, [1]Preliminar!$A$2:$E$449, 3, FALSE), 0)</f>
        <v>0</v>
      </c>
      <c r="E78" s="33">
        <f>IFERROR(VLOOKUP($B78, [1]Sist.!$A$2:$F$1057, 6, FALSE), 0)</f>
        <v>0</v>
      </c>
      <c r="F78" s="66">
        <f t="shared" si="1"/>
        <v>0</v>
      </c>
      <c r="G78" s="67"/>
    </row>
    <row r="79" spans="1:7" ht="12" hidden="1" thickTop="1" x14ac:dyDescent="0.15">
      <c r="A79" s="10"/>
      <c r="B79" s="25" t="s">
        <v>165</v>
      </c>
      <c r="C79" s="20" t="s">
        <v>166</v>
      </c>
      <c r="D79" s="33">
        <f>IFERROR(VLOOKUP($B79, [1]Preliminar!$A$2:$E$449, 3, FALSE), 0)</f>
        <v>0</v>
      </c>
      <c r="E79" s="33">
        <f>IFERROR(VLOOKUP($B79, [1]Sist.!$A$2:$F$1057, 6, FALSE), 0)</f>
        <v>0</v>
      </c>
      <c r="F79" s="66">
        <f t="shared" si="1"/>
        <v>0</v>
      </c>
      <c r="G79" s="67"/>
    </row>
    <row r="80" spans="1:7" ht="12" hidden="1" thickTop="1" x14ac:dyDescent="0.15">
      <c r="A80" s="10"/>
      <c r="B80" s="17" t="s">
        <v>167</v>
      </c>
      <c r="C80" s="20" t="s">
        <v>168</v>
      </c>
      <c r="D80" s="33">
        <f>IFERROR(VLOOKUP($B80, [1]Preliminar!$A$2:$E$449, 3, FALSE), 0)</f>
        <v>0</v>
      </c>
      <c r="E80" s="33">
        <f>IFERROR(VLOOKUP($B80, [1]Sist.!$A$2:$F$1057, 6, FALSE), 0)</f>
        <v>0</v>
      </c>
      <c r="F80" s="66">
        <f t="shared" si="1"/>
        <v>0</v>
      </c>
      <c r="G80" s="67"/>
    </row>
    <row r="81" spans="1:7" ht="12" hidden="1" thickTop="1" x14ac:dyDescent="0.15">
      <c r="A81" s="10"/>
      <c r="B81" s="17" t="s">
        <v>169</v>
      </c>
      <c r="C81" s="69" t="s">
        <v>170</v>
      </c>
      <c r="D81" s="33">
        <f>IFERROR(VLOOKUP($B81, [1]Preliminar!$A$2:$E$449, 3, FALSE), 0)</f>
        <v>0</v>
      </c>
      <c r="E81" s="33">
        <f>IFERROR(VLOOKUP($B81, [1]Sist.!$A$2:$F$1057, 6, FALSE), 0)</f>
        <v>0</v>
      </c>
      <c r="F81" s="66">
        <f t="shared" si="1"/>
        <v>0</v>
      </c>
      <c r="G81" s="67"/>
    </row>
    <row r="82" spans="1:7" ht="12" hidden="1" thickTop="1" x14ac:dyDescent="0.15">
      <c r="A82" s="10"/>
      <c r="B82" s="17" t="s">
        <v>171</v>
      </c>
      <c r="C82" s="20" t="s">
        <v>172</v>
      </c>
      <c r="D82" s="33">
        <f>IFERROR(VLOOKUP($B82, [1]Preliminar!$A$2:$E$449, 3, FALSE), 0)</f>
        <v>0</v>
      </c>
      <c r="E82" s="33">
        <f>IFERROR(VLOOKUP($B82, [1]Sist.!$A$2:$F$1057, 6, FALSE), 0)</f>
        <v>0</v>
      </c>
      <c r="F82" s="66">
        <f t="shared" si="1"/>
        <v>0</v>
      </c>
      <c r="G82" s="67"/>
    </row>
    <row r="83" spans="1:7" ht="12" hidden="1" thickTop="1" x14ac:dyDescent="0.15">
      <c r="A83" s="10"/>
      <c r="B83" s="25" t="s">
        <v>173</v>
      </c>
      <c r="C83" s="20" t="s">
        <v>174</v>
      </c>
      <c r="D83" s="33">
        <f>IFERROR(VLOOKUP($B83, [1]Preliminar!$A$2:$E$449, 3, FALSE), 0)</f>
        <v>0</v>
      </c>
      <c r="E83" s="33">
        <f>IFERROR(VLOOKUP($B83, [1]Sist.!$A$2:$F$1057, 6, FALSE), 0)</f>
        <v>0</v>
      </c>
      <c r="F83" s="66">
        <f t="shared" si="1"/>
        <v>0</v>
      </c>
      <c r="G83" s="70"/>
    </row>
    <row r="84" spans="1:7" ht="12" hidden="1" thickTop="1" x14ac:dyDescent="0.15">
      <c r="A84" s="10"/>
      <c r="B84" s="17" t="s">
        <v>175</v>
      </c>
      <c r="C84" s="20" t="s">
        <v>176</v>
      </c>
      <c r="D84" s="33">
        <f>IFERROR(VLOOKUP($B84, [1]Preliminar!$A$2:$E$449, 3, FALSE), 0)</f>
        <v>0</v>
      </c>
      <c r="E84" s="33">
        <f>IFERROR(VLOOKUP($B84, [1]Sist.!$A$2:$F$1057, 6, FALSE), 0)</f>
        <v>0</v>
      </c>
      <c r="F84" s="66">
        <f t="shared" si="1"/>
        <v>0</v>
      </c>
      <c r="G84" s="67"/>
    </row>
    <row r="85" spans="1:7" ht="12" hidden="1" thickTop="1" x14ac:dyDescent="0.15">
      <c r="A85" s="10"/>
      <c r="B85" s="17" t="s">
        <v>177</v>
      </c>
      <c r="C85" s="20" t="s">
        <v>178</v>
      </c>
      <c r="D85" s="33">
        <f>IFERROR(VLOOKUP($B85, [1]Preliminar!$A$2:$E$449, 3, FALSE), 0)</f>
        <v>0</v>
      </c>
      <c r="E85" s="33">
        <f>IFERROR(VLOOKUP($B85, [1]Sist.!$A$2:$F$1057, 6, FALSE), 0)</f>
        <v>0</v>
      </c>
      <c r="F85" s="66">
        <f t="shared" si="1"/>
        <v>0</v>
      </c>
      <c r="G85" s="67"/>
    </row>
    <row r="86" spans="1:7" ht="12" hidden="1" thickTop="1" x14ac:dyDescent="0.15">
      <c r="A86" s="10"/>
      <c r="B86" s="17" t="s">
        <v>179</v>
      </c>
      <c r="C86" s="20" t="s">
        <v>180</v>
      </c>
      <c r="D86" s="33">
        <f>IFERROR(VLOOKUP($B86, [1]Preliminar!$A$2:$E$449, 3, FALSE), 0)</f>
        <v>0</v>
      </c>
      <c r="E86" s="33">
        <f>IFERROR(VLOOKUP($B86, [1]Sist.!$A$2:$F$1057, 6, FALSE), 0)</f>
        <v>0</v>
      </c>
      <c r="F86" s="66">
        <f t="shared" si="1"/>
        <v>0</v>
      </c>
      <c r="G86" s="67"/>
    </row>
    <row r="87" spans="1:7" ht="12" hidden="1" thickTop="1" x14ac:dyDescent="0.15">
      <c r="A87" s="10"/>
      <c r="B87" s="17" t="s">
        <v>181</v>
      </c>
      <c r="C87" s="20" t="s">
        <v>182</v>
      </c>
      <c r="D87" s="33">
        <f>IFERROR(VLOOKUP($B87, [1]Preliminar!$A$2:$E$449, 3, FALSE), 0)</f>
        <v>0</v>
      </c>
      <c r="E87" s="33">
        <f>IFERROR(VLOOKUP($B87, [1]Sist.!$A$2:$F$1057, 6, FALSE), 0)</f>
        <v>0</v>
      </c>
      <c r="F87" s="66">
        <f t="shared" si="1"/>
        <v>0</v>
      </c>
      <c r="G87" s="67"/>
    </row>
    <row r="88" spans="1:7" ht="12" hidden="1" thickTop="1" x14ac:dyDescent="0.15">
      <c r="A88" s="10"/>
      <c r="B88" s="17" t="s">
        <v>183</v>
      </c>
      <c r="C88" s="20" t="s">
        <v>184</v>
      </c>
      <c r="D88" s="33">
        <f>IFERROR(VLOOKUP($B88, [1]Preliminar!$A$2:$E$449, 3, FALSE), 0)</f>
        <v>0</v>
      </c>
      <c r="E88" s="33">
        <f>IFERROR(VLOOKUP($B88, [1]Sist.!$A$2:$F$1057, 6, FALSE), 0)</f>
        <v>0</v>
      </c>
      <c r="F88" s="66">
        <f t="shared" si="1"/>
        <v>0</v>
      </c>
      <c r="G88" s="20"/>
    </row>
    <row r="89" spans="1:7" ht="12" hidden="1" thickTop="1" x14ac:dyDescent="0.15">
      <c r="A89" s="10"/>
      <c r="B89" s="17" t="s">
        <v>185</v>
      </c>
      <c r="C89" s="20" t="s">
        <v>186</v>
      </c>
      <c r="D89" s="33">
        <f>IFERROR(VLOOKUP($B89, [1]Preliminar!$A$2:$E$449, 3, FALSE), 0)</f>
        <v>0</v>
      </c>
      <c r="E89" s="33">
        <f>IFERROR(VLOOKUP($B89, [1]Sist.!$A$2:$F$1057, 6, FALSE), 0)</f>
        <v>0</v>
      </c>
      <c r="F89" s="66">
        <f t="shared" si="1"/>
        <v>0</v>
      </c>
      <c r="G89" s="67"/>
    </row>
    <row r="90" spans="1:7" ht="12" hidden="1" thickTop="1" x14ac:dyDescent="0.15">
      <c r="A90" s="71"/>
      <c r="B90" s="17" t="s">
        <v>187</v>
      </c>
      <c r="C90" s="20" t="s">
        <v>188</v>
      </c>
      <c r="D90" s="33">
        <f>IFERROR(VLOOKUP($B90, [1]Preliminar!$A$2:$E$449, 3, FALSE), 0)</f>
        <v>0</v>
      </c>
      <c r="E90" s="33"/>
      <c r="F90" s="66">
        <f t="shared" si="1"/>
        <v>0</v>
      </c>
      <c r="G90" s="67"/>
    </row>
    <row r="91" spans="1:7" ht="12" hidden="1" thickTop="1" x14ac:dyDescent="0.15">
      <c r="A91" s="10"/>
      <c r="B91" s="17" t="s">
        <v>189</v>
      </c>
      <c r="C91" s="72" t="s">
        <v>190</v>
      </c>
      <c r="D91" s="33">
        <f>IFERROR(VLOOKUP($B91, [1]Preliminar!$A$2:$E$449, 3, FALSE), 0)</f>
        <v>0</v>
      </c>
      <c r="E91" s="33">
        <f>IFERROR(VLOOKUP($B91, [1]Sist.!$A$2:$F$1057, 6, FALSE), 0)</f>
        <v>0</v>
      </c>
      <c r="F91" s="66">
        <f t="shared" si="1"/>
        <v>0</v>
      </c>
      <c r="G91" s="67"/>
    </row>
    <row r="92" spans="1:7" ht="12" hidden="1" thickTop="1" x14ac:dyDescent="0.15">
      <c r="A92" s="10"/>
      <c r="B92" s="11" t="s">
        <v>191</v>
      </c>
      <c r="C92" s="73" t="s">
        <v>190</v>
      </c>
      <c r="D92" s="24">
        <f>IFERROR(VLOOKUP($B92, [1]Preliminar!$A$2:$E$449, 3, FALSE), 0)</f>
        <v>0</v>
      </c>
      <c r="E92" s="24"/>
      <c r="F92" s="74">
        <f t="shared" si="1"/>
        <v>0</v>
      </c>
      <c r="G92" s="75"/>
    </row>
    <row r="93" spans="1:7" ht="12" hidden="1" thickTop="1" x14ac:dyDescent="0.15">
      <c r="A93" s="10"/>
      <c r="B93" s="17" t="s">
        <v>192</v>
      </c>
      <c r="C93" s="20" t="s">
        <v>193</v>
      </c>
      <c r="D93" s="33">
        <f>IFERROR(VLOOKUP($B93, [1]Preliminar!$A$2:$E$449, 3, FALSE), 0)</f>
        <v>0</v>
      </c>
      <c r="E93" s="33">
        <f>IFERROR(VLOOKUP($B93, [1]Sist.!$A$2:$F$1057, 6, FALSE), 0)</f>
        <v>0</v>
      </c>
      <c r="F93" s="66">
        <f t="shared" si="1"/>
        <v>0</v>
      </c>
      <c r="G93" s="67"/>
    </row>
    <row r="94" spans="1:7" ht="12" hidden="1" thickTop="1" x14ac:dyDescent="0.15">
      <c r="A94" s="10"/>
      <c r="B94" s="17" t="s">
        <v>194</v>
      </c>
      <c r="C94" s="22" t="s">
        <v>195</v>
      </c>
      <c r="D94" s="76">
        <f>IFERROR(VLOOKUP($B94, [1]Preliminar!$A$2:$E$449, 3, FALSE), 0)</f>
        <v>0</v>
      </c>
      <c r="E94" s="77">
        <f>IFERROR(VLOOKUP($B94, [1]Sist.!$A$2:$F$1057, 6, FALSE), 0)</f>
        <v>0</v>
      </c>
      <c r="F94" s="78">
        <f t="shared" si="1"/>
        <v>0</v>
      </c>
      <c r="G94" s="19"/>
    </row>
    <row r="95" spans="1:7" ht="12" hidden="1" thickTop="1" x14ac:dyDescent="0.15">
      <c r="A95" s="10"/>
      <c r="B95" s="17" t="s">
        <v>196</v>
      </c>
      <c r="C95" s="12" t="s">
        <v>197</v>
      </c>
      <c r="D95" s="13">
        <f>IFERROR(VLOOKUP($B95, [1]Preliminar!$A$2:$E$449, 3, FALSE), 0)</f>
        <v>0</v>
      </c>
      <c r="E95" s="14">
        <f>IFERROR(VLOOKUP($B95, [1]Sist.!$A$2:$F$1057, 6, FALSE), 0)</f>
        <v>0</v>
      </c>
      <c r="F95" s="15">
        <f t="shared" si="1"/>
        <v>0</v>
      </c>
      <c r="G95" s="16"/>
    </row>
    <row r="96" spans="1:7" ht="12" hidden="1" thickTop="1" x14ac:dyDescent="0.15">
      <c r="A96" s="30"/>
      <c r="B96" s="11" t="s">
        <v>198</v>
      </c>
      <c r="C96" s="12" t="s">
        <v>199</v>
      </c>
      <c r="D96" s="13">
        <f>IFERROR(VLOOKUP($B96, [1]Preliminar!$A$2:$E$449, 3, FALSE), 0)</f>
        <v>0</v>
      </c>
      <c r="E96" s="14">
        <f>IFERROR(VLOOKUP($B96, [1]Sist.!$A$2:$F$1057, 6, FALSE), 0)</f>
        <v>0</v>
      </c>
      <c r="F96" s="15">
        <f t="shared" si="1"/>
        <v>0</v>
      </c>
      <c r="G96" s="16"/>
    </row>
    <row r="97" spans="1:7" ht="12" hidden="1" thickTop="1" x14ac:dyDescent="0.15">
      <c r="A97" s="29"/>
      <c r="B97" s="17" t="s">
        <v>200</v>
      </c>
      <c r="C97" s="12" t="s">
        <v>201</v>
      </c>
      <c r="D97" s="13">
        <f>IFERROR(VLOOKUP($B97, [1]Preliminar!$A$2:$E$449, 3, FALSE), 0)</f>
        <v>0</v>
      </c>
      <c r="E97" s="14">
        <f>IFERROR(VLOOKUP($B97, [1]Sist.!$A$2:$F$1057, 6, FALSE), 0)</f>
        <v>0</v>
      </c>
      <c r="F97" s="15">
        <f t="shared" si="1"/>
        <v>0</v>
      </c>
      <c r="G97" s="16"/>
    </row>
    <row r="98" spans="1:7" ht="12" hidden="1" thickTop="1" x14ac:dyDescent="0.15">
      <c r="A98" s="27"/>
      <c r="B98" s="11" t="s">
        <v>202</v>
      </c>
      <c r="C98" s="12" t="s">
        <v>203</v>
      </c>
      <c r="D98" s="13">
        <f>IFERROR(VLOOKUP($B98, [1]Preliminar!$A$2:$E$449, 3, FALSE), 0)</f>
        <v>0</v>
      </c>
      <c r="E98" s="14">
        <f>IFERROR(VLOOKUP($B98, [1]Sist.!$A$2:$F$1057, 6, FALSE), 0)</f>
        <v>0</v>
      </c>
      <c r="F98" s="15">
        <f t="shared" si="1"/>
        <v>0</v>
      </c>
      <c r="G98" s="21"/>
    </row>
    <row r="99" spans="1:7" ht="12" hidden="1" thickTop="1" x14ac:dyDescent="0.15">
      <c r="A99" s="10"/>
      <c r="B99" s="17" t="s">
        <v>204</v>
      </c>
      <c r="C99" s="12" t="s">
        <v>205</v>
      </c>
      <c r="D99" s="13">
        <f>IFERROR(VLOOKUP($B99, [1]Preliminar!$A$2:$E$449, 3, FALSE), 0)</f>
        <v>0</v>
      </c>
      <c r="E99" s="14">
        <f>IFERROR(VLOOKUP($B99, [1]Sist.!$A$2:$F$1057, 6, FALSE), 0)</f>
        <v>0</v>
      </c>
      <c r="F99" s="15">
        <f t="shared" si="1"/>
        <v>0</v>
      </c>
      <c r="G99" s="21"/>
    </row>
    <row r="100" spans="1:7" ht="12" hidden="1" thickTop="1" x14ac:dyDescent="0.15">
      <c r="A100" s="10"/>
      <c r="B100" s="44" t="s">
        <v>206</v>
      </c>
      <c r="C100" s="12" t="s">
        <v>207</v>
      </c>
      <c r="D100" s="13">
        <f>IFERROR(VLOOKUP($B100, [1]Preliminar!$A$2:$E$449, 3, FALSE), 0)</f>
        <v>0</v>
      </c>
      <c r="E100" s="14">
        <f>IFERROR(VLOOKUP($B100, [1]Sist.!$A$2:$F$1057, 6, FALSE), 0)</f>
        <v>0</v>
      </c>
      <c r="F100" s="15">
        <f t="shared" si="1"/>
        <v>0</v>
      </c>
      <c r="G100" s="79"/>
    </row>
    <row r="101" spans="1:7" ht="12" hidden="1" thickTop="1" x14ac:dyDescent="0.15">
      <c r="A101" s="10"/>
      <c r="B101" s="11" t="s">
        <v>208</v>
      </c>
      <c r="C101" s="12" t="s">
        <v>209</v>
      </c>
      <c r="D101" s="13">
        <f>IFERROR(VLOOKUP($B101, [1]Preliminar!$A$2:$E$449, 3, FALSE), 0)</f>
        <v>0</v>
      </c>
      <c r="E101" s="14">
        <f>IFERROR(VLOOKUP($B101, [1]Sist.!$A$2:$F$1057, 6, FALSE), 0)</f>
        <v>0</v>
      </c>
      <c r="F101" s="15">
        <f t="shared" si="1"/>
        <v>0</v>
      </c>
      <c r="G101" s="16"/>
    </row>
    <row r="102" spans="1:7" ht="12" hidden="1" thickTop="1" x14ac:dyDescent="0.15">
      <c r="A102" s="10"/>
      <c r="B102" s="17" t="s">
        <v>210</v>
      </c>
      <c r="C102" s="80" t="s">
        <v>211</v>
      </c>
      <c r="D102" s="13">
        <f>IFERROR(VLOOKUP($B102, [1]Preliminar!$A$2:$E$449, 3, FALSE), 0)</f>
        <v>0</v>
      </c>
      <c r="E102" s="14">
        <f>IFERROR(VLOOKUP($B102, [1]Sist.!$A$2:$F$1057, 6, FALSE), 0)</f>
        <v>0</v>
      </c>
      <c r="F102" s="15">
        <f t="shared" si="1"/>
        <v>0</v>
      </c>
      <c r="G102" s="16"/>
    </row>
    <row r="103" spans="1:7" ht="12" hidden="1" thickTop="1" x14ac:dyDescent="0.15">
      <c r="A103" s="10"/>
      <c r="B103" s="17" t="s">
        <v>212</v>
      </c>
      <c r="C103" s="22" t="s">
        <v>213</v>
      </c>
      <c r="D103" s="32">
        <f>IFERROR(VLOOKUP($B103, [1]Preliminar!$A$2:$E$449, 3, FALSE), 0)</f>
        <v>0</v>
      </c>
      <c r="E103" s="33">
        <f>IFERROR(VLOOKUP($B103, [1]Sist.!$A$2:$F$1057, 6, FALSE), 0)</f>
        <v>0</v>
      </c>
      <c r="F103" s="78">
        <f t="shared" si="1"/>
        <v>0</v>
      </c>
      <c r="G103" s="36"/>
    </row>
    <row r="104" spans="1:7" ht="12" hidden="1" thickTop="1" x14ac:dyDescent="0.15">
      <c r="A104" s="10"/>
      <c r="B104" s="17" t="s">
        <v>214</v>
      </c>
      <c r="C104" s="12" t="s">
        <v>215</v>
      </c>
      <c r="D104" s="23">
        <f>IFERROR(VLOOKUP($B104, [1]Preliminar!$A$2:$E$449, 3, FALSE), 0)</f>
        <v>0</v>
      </c>
      <c r="E104" s="24">
        <f>IFERROR(VLOOKUP($B104, [1]Sist.!$A$2:$F$1057, 6, FALSE), 0)</f>
        <v>0</v>
      </c>
      <c r="F104" s="15">
        <f t="shared" si="1"/>
        <v>0</v>
      </c>
      <c r="G104" s="16"/>
    </row>
    <row r="105" spans="1:7" ht="12" hidden="1" thickTop="1" x14ac:dyDescent="0.15">
      <c r="A105" s="10"/>
      <c r="B105" s="62" t="s">
        <v>216</v>
      </c>
      <c r="C105" s="81" t="s">
        <v>217</v>
      </c>
      <c r="D105" s="82">
        <f>IFERROR(VLOOKUP($B105, [1]Preliminar!$A$2:$E$449, 3, FALSE), 0)</f>
        <v>0</v>
      </c>
      <c r="E105" s="83">
        <f>IFERROR(VLOOKUP($B105, [1]Sist.!$A$2:$F$1057, 6, FALSE), 0)</f>
        <v>0</v>
      </c>
      <c r="F105" s="84">
        <f t="shared" si="1"/>
        <v>0</v>
      </c>
      <c r="G105" s="85"/>
    </row>
    <row r="106" spans="1:7" ht="12" hidden="1" thickTop="1" x14ac:dyDescent="0.15">
      <c r="A106" s="27"/>
      <c r="B106" s="17" t="s">
        <v>218</v>
      </c>
      <c r="C106" s="22" t="s">
        <v>219</v>
      </c>
      <c r="D106" s="32">
        <f>IFERROR(VLOOKUP($B106, [1]Preliminar!$A$2:$E$449, 3, FALSE), 0)</f>
        <v>0</v>
      </c>
      <c r="E106" s="33">
        <f>IFERROR(VLOOKUP($B106, [1]Sist.!$A$2:$F$1057, 6, FALSE), 0)</f>
        <v>0</v>
      </c>
      <c r="F106" s="78">
        <f t="shared" si="1"/>
        <v>0</v>
      </c>
      <c r="G106" s="86"/>
    </row>
    <row r="107" spans="1:7" ht="12" hidden="1" thickTop="1" x14ac:dyDescent="0.15">
      <c r="A107" s="10"/>
      <c r="B107" s="17" t="s">
        <v>220</v>
      </c>
      <c r="C107" s="12" t="s">
        <v>221</v>
      </c>
      <c r="D107" s="13">
        <f>IFERROR(VLOOKUP($B107, [1]Preliminar!$A$2:$E$449, 3, FALSE), 0)</f>
        <v>0</v>
      </c>
      <c r="E107" s="14">
        <f>IFERROR(VLOOKUP($B107, [1]Sist.!$A$2:$F$1057, 6, FALSE), 0)</f>
        <v>0</v>
      </c>
      <c r="F107" s="15">
        <f>D107-E107</f>
        <v>0</v>
      </c>
      <c r="G107" s="16"/>
    </row>
    <row r="108" spans="1:7" ht="12" hidden="1" thickTop="1" x14ac:dyDescent="0.15">
      <c r="A108" s="10"/>
      <c r="B108" s="17" t="s">
        <v>222</v>
      </c>
      <c r="C108" s="20" t="s">
        <v>223</v>
      </c>
      <c r="D108" s="13">
        <f>IFERROR(VLOOKUP($B108, [1]Preliminar!$A$2:$E$449, 3, FALSE), 0)</f>
        <v>0</v>
      </c>
      <c r="E108" s="14">
        <f>IFERROR(VLOOKUP($B108, [1]Sist.!$A$2:$F$1057, 6, FALSE), 0)</f>
        <v>0</v>
      </c>
      <c r="F108" s="15">
        <f>D108-E108</f>
        <v>0</v>
      </c>
      <c r="G108" s="21"/>
    </row>
    <row r="109" spans="1:7" ht="12" hidden="1" thickTop="1" x14ac:dyDescent="0.15">
      <c r="A109" s="10"/>
      <c r="B109" s="17" t="s">
        <v>224</v>
      </c>
      <c r="C109" s="12" t="s">
        <v>87</v>
      </c>
      <c r="D109" s="13">
        <f>IFERROR(VLOOKUP($B109, [1]Preliminar!$A$2:$E$449, 3, FALSE), 0)</f>
        <v>0</v>
      </c>
      <c r="E109" s="14">
        <f>IFERROR(VLOOKUP($B109, [1]Sist.!$A$2:$F$1057, 6, FALSE), 0)</f>
        <v>0</v>
      </c>
      <c r="F109" s="15">
        <f t="shared" si="1"/>
        <v>0</v>
      </c>
      <c r="G109" s="16"/>
    </row>
    <row r="110" spans="1:7" ht="12" thickTop="1" x14ac:dyDescent="0.15"/>
    <row r="113" spans="1:7" x14ac:dyDescent="0.15">
      <c r="B113" s="192" t="s">
        <v>225</v>
      </c>
      <c r="C113" s="192"/>
    </row>
    <row r="114" spans="1:7" x14ac:dyDescent="0.15">
      <c r="B114" s="89" t="s">
        <v>2</v>
      </c>
      <c r="C114" s="6" t="s">
        <v>3</v>
      </c>
      <c r="D114" s="6" t="s">
        <v>4</v>
      </c>
      <c r="E114" s="6" t="s">
        <v>5</v>
      </c>
      <c r="F114" s="9" t="s">
        <v>6</v>
      </c>
      <c r="G114" s="90" t="s">
        <v>7</v>
      </c>
    </row>
    <row r="115" spans="1:7" x14ac:dyDescent="0.15">
      <c r="A115" s="10"/>
      <c r="B115" s="91" t="s">
        <v>226</v>
      </c>
      <c r="C115" s="12" t="s">
        <v>227</v>
      </c>
      <c r="D115" s="14">
        <f>'[2]Formato Conteo ProductoEnvasado'!$I$27</f>
        <v>3</v>
      </c>
      <c r="E115" s="14">
        <f>IFERROR(VLOOKUP($B115, [1]Sist.!$A$2:$F$1057, 6, FALSE), 0)</f>
        <v>3</v>
      </c>
      <c r="F115" s="92">
        <f t="shared" ref="F115:F178" si="2">D115-E115</f>
        <v>0</v>
      </c>
      <c r="G115" s="36"/>
    </row>
    <row r="116" spans="1:7" x14ac:dyDescent="0.15">
      <c r="A116" s="10"/>
      <c r="B116" s="26" t="s">
        <v>228</v>
      </c>
      <c r="C116" s="94" t="s">
        <v>229</v>
      </c>
      <c r="D116" s="14">
        <f>IFERROR(VLOOKUP($B116, [1]Preliminar!$A$2:$E$449, 3, FALSE), 0)</f>
        <v>1</v>
      </c>
      <c r="E116" s="14">
        <f>IFERROR(VLOOKUP($B116, [1]Sist.!$A$2:$F$1057, 6, FALSE), 0)</f>
        <v>1</v>
      </c>
      <c r="F116" s="92">
        <f t="shared" si="2"/>
        <v>0</v>
      </c>
      <c r="G116" s="95"/>
    </row>
    <row r="117" spans="1:7" x14ac:dyDescent="0.15">
      <c r="A117" s="10"/>
      <c r="B117" s="11" t="s">
        <v>230</v>
      </c>
      <c r="C117" s="94" t="s">
        <v>231</v>
      </c>
      <c r="D117" s="14">
        <f>IFERROR(VLOOKUP($B117, [1]Preliminar!$A$2:$E$449, 3, FALSE), 0)</f>
        <v>7</v>
      </c>
      <c r="E117" s="14">
        <f>IFERROR(VLOOKUP($B117, [1]Sist.!$A$2:$F$1057, 6, FALSE), 0)</f>
        <v>7</v>
      </c>
      <c r="F117" s="92">
        <f t="shared" si="2"/>
        <v>0</v>
      </c>
      <c r="G117" s="95"/>
    </row>
    <row r="118" spans="1:7" x14ac:dyDescent="0.15">
      <c r="A118" s="10"/>
      <c r="B118" s="11" t="s">
        <v>232</v>
      </c>
      <c r="C118" s="12" t="s">
        <v>233</v>
      </c>
      <c r="D118" s="14">
        <f>IFERROR(VLOOKUP($B118, [1]Preliminar!$A$2:$E$449, 3, FALSE), 0)</f>
        <v>63</v>
      </c>
      <c r="E118" s="14">
        <f>IFERROR(VLOOKUP($B118, [1]Sist.!$A$2:$F$1057, 6, FALSE), 0)</f>
        <v>63</v>
      </c>
      <c r="F118" s="92">
        <f t="shared" si="2"/>
        <v>0</v>
      </c>
      <c r="G118" s="96"/>
    </row>
    <row r="119" spans="1:7" x14ac:dyDescent="0.15">
      <c r="A119" s="10"/>
      <c r="B119" s="17" t="s">
        <v>234</v>
      </c>
      <c r="C119" s="97" t="s">
        <v>235</v>
      </c>
      <c r="D119" s="14">
        <f>IFERROR(VLOOKUP($B119, [1]Preliminar!$A$2:$E$449, 3, FALSE), 0)</f>
        <v>182</v>
      </c>
      <c r="E119" s="14">
        <f>IFERROR(VLOOKUP($B119, [1]Sist.!$A$2:$F$1057, 6, FALSE), 0)</f>
        <v>182</v>
      </c>
      <c r="F119" s="92">
        <f t="shared" si="2"/>
        <v>0</v>
      </c>
      <c r="G119" s="95"/>
    </row>
    <row r="120" spans="1:7" x14ac:dyDescent="0.15">
      <c r="A120" s="10"/>
      <c r="B120" s="11" t="s">
        <v>236</v>
      </c>
      <c r="C120" s="12" t="s">
        <v>237</v>
      </c>
      <c r="D120" s="14">
        <f>IFERROR(VLOOKUP($B120, [1]Preliminar!$A$2:$E$449, 3, FALSE), 0)</f>
        <v>522</v>
      </c>
      <c r="E120" s="14">
        <f>IFERROR(VLOOKUP($B120, [1]Sist.!$A$2:$F$1057, 6, FALSE), 0)</f>
        <v>522</v>
      </c>
      <c r="F120" s="92">
        <f t="shared" si="2"/>
        <v>0</v>
      </c>
      <c r="G120" s="95"/>
    </row>
    <row r="121" spans="1:7" x14ac:dyDescent="0.15">
      <c r="A121" s="10"/>
      <c r="B121" s="11" t="s">
        <v>238</v>
      </c>
      <c r="C121" s="12" t="s">
        <v>239</v>
      </c>
      <c r="D121" s="14">
        <f>IFERROR(VLOOKUP($B121, [1]Preliminar!$A$2:$E$449, 3, FALSE), 0)</f>
        <v>211</v>
      </c>
      <c r="E121" s="14">
        <f>IFERROR(VLOOKUP($B121, [1]Sist.!$A$2:$F$1057, 6, FALSE), 0)</f>
        <v>211</v>
      </c>
      <c r="F121" s="92">
        <f t="shared" si="2"/>
        <v>0</v>
      </c>
      <c r="G121" s="95"/>
    </row>
    <row r="122" spans="1:7" x14ac:dyDescent="0.15">
      <c r="A122" s="10"/>
      <c r="B122" s="11" t="s">
        <v>240</v>
      </c>
      <c r="C122" s="12" t="s">
        <v>241</v>
      </c>
      <c r="D122" s="14">
        <f>IFERROR(VLOOKUP($B122, [1]Preliminar!$A$2:$E$449, 3, FALSE), 0)</f>
        <v>179</v>
      </c>
      <c r="E122" s="14">
        <f>IFERROR(VLOOKUP($B122, [1]Sist.!$A$2:$F$1057, 6, FALSE), 0)</f>
        <v>179</v>
      </c>
      <c r="F122" s="92">
        <f t="shared" si="2"/>
        <v>0</v>
      </c>
      <c r="G122" s="95"/>
    </row>
    <row r="123" spans="1:7" x14ac:dyDescent="0.15">
      <c r="A123" s="10"/>
      <c r="B123" s="11" t="s">
        <v>242</v>
      </c>
      <c r="C123" s="12" t="s">
        <v>243</v>
      </c>
      <c r="D123" s="14">
        <f>IFERROR(VLOOKUP($B123, [1]Preliminar!$A$2:$E$449, 3, FALSE), 0)</f>
        <v>357</v>
      </c>
      <c r="E123" s="14">
        <f>IFERROR(VLOOKUP($B123, [1]Sist.!$A$2:$F$1057, 6, FALSE), 0)</f>
        <v>357</v>
      </c>
      <c r="F123" s="92">
        <f t="shared" si="2"/>
        <v>0</v>
      </c>
      <c r="G123" s="95"/>
    </row>
    <row r="124" spans="1:7" x14ac:dyDescent="0.15">
      <c r="A124" s="10"/>
      <c r="B124" s="11" t="s">
        <v>244</v>
      </c>
      <c r="C124" s="12" t="s">
        <v>245</v>
      </c>
      <c r="D124" s="14">
        <f>IFERROR(VLOOKUP($B124, [1]Preliminar!$A$2:$E$449, 3, FALSE), 0)</f>
        <v>153</v>
      </c>
      <c r="E124" s="14">
        <f>IFERROR(VLOOKUP($B124, [1]Sist.!$A$2:$F$1057, 6, FALSE), 0)</f>
        <v>153</v>
      </c>
      <c r="F124" s="92">
        <f t="shared" si="2"/>
        <v>0</v>
      </c>
      <c r="G124" s="95"/>
    </row>
    <row r="125" spans="1:7" x14ac:dyDescent="0.15">
      <c r="A125" s="10"/>
      <c r="B125" s="11" t="s">
        <v>246</v>
      </c>
      <c r="C125" s="12" t="s">
        <v>247</v>
      </c>
      <c r="D125" s="14">
        <f>IFERROR(VLOOKUP($B125, [1]Preliminar!$A$2:$E$449, 3, FALSE), 0)</f>
        <v>1107</v>
      </c>
      <c r="E125" s="14">
        <f>IFERROR(VLOOKUP($B125, [1]Sist.!$A$2:$F$1057, 6, FALSE), 0)</f>
        <v>1107</v>
      </c>
      <c r="F125" s="92">
        <f t="shared" si="2"/>
        <v>0</v>
      </c>
      <c r="G125" s="95"/>
    </row>
    <row r="126" spans="1:7" x14ac:dyDescent="0.15">
      <c r="A126" s="10"/>
      <c r="B126" s="11" t="s">
        <v>248</v>
      </c>
      <c r="C126" s="12" t="s">
        <v>249</v>
      </c>
      <c r="D126" s="14">
        <f>IFERROR(VLOOKUP($B126, [1]Preliminar!$A$2:$E$449, 3, FALSE), 0)</f>
        <v>160</v>
      </c>
      <c r="E126" s="14">
        <f>IFERROR(VLOOKUP($B126, [1]Sist.!$A$2:$F$1057, 6, FALSE), 0)</f>
        <v>160</v>
      </c>
      <c r="F126" s="92">
        <f t="shared" si="2"/>
        <v>0</v>
      </c>
      <c r="G126" s="95"/>
    </row>
    <row r="127" spans="1:7" x14ac:dyDescent="0.15">
      <c r="A127" s="10"/>
      <c r="B127" s="11" t="s">
        <v>250</v>
      </c>
      <c r="C127" s="12" t="s">
        <v>251</v>
      </c>
      <c r="D127" s="14">
        <f>IFERROR(VLOOKUP($B127, [1]Preliminar!$A$2:$E$449, 3, FALSE), 0)</f>
        <v>225</v>
      </c>
      <c r="E127" s="14">
        <f>IFERROR(VLOOKUP($B127, [1]Sist.!$A$2:$F$1057, 6, FALSE), 0)</f>
        <v>225</v>
      </c>
      <c r="F127" s="92">
        <f t="shared" si="2"/>
        <v>0</v>
      </c>
      <c r="G127" s="95"/>
    </row>
    <row r="128" spans="1:7" x14ac:dyDescent="0.15">
      <c r="A128" s="10"/>
      <c r="B128" s="11" t="s">
        <v>252</v>
      </c>
      <c r="C128" s="12" t="s">
        <v>253</v>
      </c>
      <c r="D128" s="14">
        <f>IFERROR(VLOOKUP($B128, [1]Preliminar!$A$2:$E$449, 3, FALSE), 0)</f>
        <v>353</v>
      </c>
      <c r="E128" s="14">
        <f>IFERROR(VLOOKUP($B128, [1]Sist.!$A$2:$F$1057, 6, FALSE), 0)</f>
        <v>353</v>
      </c>
      <c r="F128" s="92">
        <f t="shared" si="2"/>
        <v>0</v>
      </c>
      <c r="G128" s="95"/>
    </row>
    <row r="129" spans="1:7" x14ac:dyDescent="0.15">
      <c r="A129" s="10"/>
      <c r="B129" s="17" t="s">
        <v>254</v>
      </c>
      <c r="C129" s="22" t="s">
        <v>255</v>
      </c>
      <c r="D129" s="77">
        <f>IFERROR(VLOOKUP($B129, [1]Preliminar!$A$2:$E$449, 3, FALSE), 0)</f>
        <v>147</v>
      </c>
      <c r="E129" s="77">
        <f>IFERROR(VLOOKUP($B129, [1]Sist.!$A$2:$F$1057, 6, FALSE), 0)</f>
        <v>147</v>
      </c>
      <c r="F129" s="92">
        <f t="shared" si="2"/>
        <v>0</v>
      </c>
      <c r="G129" s="47"/>
    </row>
    <row r="130" spans="1:7" x14ac:dyDescent="0.15">
      <c r="A130" s="10"/>
      <c r="B130" s="11" t="s">
        <v>256</v>
      </c>
      <c r="C130" s="12" t="s">
        <v>257</v>
      </c>
      <c r="D130" s="14">
        <f>IFERROR(VLOOKUP($B130, [1]Preliminar!$A$2:$E$449, 3, FALSE), 0)</f>
        <v>198</v>
      </c>
      <c r="E130" s="14">
        <f>IFERROR(VLOOKUP($B130, [1]Sist.!$A$2:$F$1057, 6, FALSE), 0)</f>
        <v>198</v>
      </c>
      <c r="F130" s="92">
        <f t="shared" si="2"/>
        <v>0</v>
      </c>
      <c r="G130" s="98"/>
    </row>
    <row r="131" spans="1:7" x14ac:dyDescent="0.15">
      <c r="A131" s="10"/>
      <c r="B131" s="11" t="s">
        <v>258</v>
      </c>
      <c r="C131" s="12" t="s">
        <v>259</v>
      </c>
      <c r="D131" s="14">
        <f>IFERROR(VLOOKUP($B131, [1]Preliminar!$A$2:$E$449, 3, FALSE), 0)</f>
        <v>10</v>
      </c>
      <c r="E131" s="14">
        <f>IFERROR(VLOOKUP($B131, [1]Sist.!$A$2:$F$1057, 6, FALSE), 0)</f>
        <v>10</v>
      </c>
      <c r="F131" s="92">
        <f t="shared" si="2"/>
        <v>0</v>
      </c>
      <c r="G131" s="95"/>
    </row>
    <row r="132" spans="1:7" x14ac:dyDescent="0.15">
      <c r="A132" s="10"/>
      <c r="B132" s="11" t="s">
        <v>260</v>
      </c>
      <c r="C132" s="12" t="s">
        <v>261</v>
      </c>
      <c r="D132" s="14">
        <f>IFERROR(VLOOKUP($B132, [1]Preliminar!$A$2:$E$449, 3, FALSE), 0)</f>
        <v>1055</v>
      </c>
      <c r="E132" s="14">
        <f>IFERROR(VLOOKUP($B132, [1]Sist.!$A$2:$F$1057, 6, FALSE), 0)</f>
        <v>1055</v>
      </c>
      <c r="F132" s="92">
        <f t="shared" si="2"/>
        <v>0</v>
      </c>
      <c r="G132" s="95"/>
    </row>
    <row r="133" spans="1:7" x14ac:dyDescent="0.15">
      <c r="A133" s="10"/>
      <c r="B133" s="11" t="s">
        <v>262</v>
      </c>
      <c r="C133" s="12" t="s">
        <v>263</v>
      </c>
      <c r="D133" s="14">
        <f>IFERROR(VLOOKUP($B133, [1]Preliminar!$A$2:$E$449, 3, FALSE), 0)</f>
        <v>16</v>
      </c>
      <c r="E133" s="14">
        <f>IFERROR(VLOOKUP($B133, [1]Sist.!$A$2:$F$1057, 6, FALSE), 0)</f>
        <v>16</v>
      </c>
      <c r="F133" s="92">
        <f t="shared" si="2"/>
        <v>0</v>
      </c>
      <c r="G133" s="95"/>
    </row>
    <row r="134" spans="1:7" x14ac:dyDescent="0.15">
      <c r="A134" s="10"/>
      <c r="B134" s="11" t="s">
        <v>264</v>
      </c>
      <c r="C134" s="12" t="s">
        <v>265</v>
      </c>
      <c r="D134" s="14">
        <f>IFERROR(VLOOKUP($B134, [1]Preliminar!$A$2:$E$449, 3, FALSE), 0)</f>
        <v>313</v>
      </c>
      <c r="E134" s="14">
        <f>IFERROR(VLOOKUP($B134, [1]Sist.!$A$2:$F$1057, 6, FALSE), 0)</f>
        <v>313</v>
      </c>
      <c r="F134" s="92">
        <f t="shared" si="2"/>
        <v>0</v>
      </c>
      <c r="G134" s="96" t="s">
        <v>266</v>
      </c>
    </row>
    <row r="135" spans="1:7" x14ac:dyDescent="0.15">
      <c r="A135" s="10"/>
      <c r="B135" s="11" t="s">
        <v>267</v>
      </c>
      <c r="C135" s="12" t="s">
        <v>268</v>
      </c>
      <c r="D135" s="14">
        <f>IFERROR(VLOOKUP($B135, [1]Preliminar!$A$2:$E$449, 3, FALSE), 0)</f>
        <v>460</v>
      </c>
      <c r="E135" s="14">
        <f>IFERROR(VLOOKUP($B135, [1]Sist.!$A$2:$F$1057, 6, FALSE), 0)</f>
        <v>460</v>
      </c>
      <c r="F135" s="92">
        <f t="shared" si="2"/>
        <v>0</v>
      </c>
      <c r="G135" s="96"/>
    </row>
    <row r="136" spans="1:7" x14ac:dyDescent="0.15">
      <c r="A136" s="10"/>
      <c r="B136" s="11" t="s">
        <v>269</v>
      </c>
      <c r="C136" s="12" t="s">
        <v>270</v>
      </c>
      <c r="D136" s="14">
        <f>IFERROR(VLOOKUP($B136, [1]Preliminar!$A$2:$E$449, 3, FALSE), 0)</f>
        <v>431</v>
      </c>
      <c r="E136" s="14">
        <f>IFERROR(VLOOKUP($B136, [1]Sist.!$A$2:$F$1057, 6, FALSE), 0)</f>
        <v>431</v>
      </c>
      <c r="F136" s="92">
        <f t="shared" si="2"/>
        <v>0</v>
      </c>
      <c r="G136" s="95"/>
    </row>
    <row r="137" spans="1:7" x14ac:dyDescent="0.15">
      <c r="A137" s="10"/>
      <c r="B137" s="11" t="s">
        <v>271</v>
      </c>
      <c r="C137" s="12" t="s">
        <v>272</v>
      </c>
      <c r="D137" s="14">
        <f>IFERROR(VLOOKUP($B137, [1]Preliminar!$A$2:$E$449, 3, FALSE), 0)</f>
        <v>967</v>
      </c>
      <c r="E137" s="14">
        <f>IFERROR(VLOOKUP($B137, [1]Sist.!$A$2:$F$1057, 6, FALSE), 0)</f>
        <v>967</v>
      </c>
      <c r="F137" s="92">
        <f t="shared" si="2"/>
        <v>0</v>
      </c>
      <c r="G137" s="95"/>
    </row>
    <row r="138" spans="1:7" x14ac:dyDescent="0.15">
      <c r="A138" s="10"/>
      <c r="B138" s="20" t="s">
        <v>273</v>
      </c>
      <c r="C138" s="12" t="s">
        <v>274</v>
      </c>
      <c r="D138" s="14">
        <f>IFERROR(VLOOKUP($B138, [1]Preliminar!$A$2:$E$449, 3, FALSE), 0)</f>
        <v>399</v>
      </c>
      <c r="E138" s="14">
        <f>IFERROR(VLOOKUP($B138, [1]Sist.!$A$2:$F$1057, 6, FALSE), 0)</f>
        <v>399</v>
      </c>
      <c r="F138" s="92">
        <f t="shared" si="2"/>
        <v>0</v>
      </c>
      <c r="G138" s="95"/>
    </row>
    <row r="139" spans="1:7" x14ac:dyDescent="0.15">
      <c r="A139" s="10"/>
      <c r="B139" s="11" t="s">
        <v>275</v>
      </c>
      <c r="C139" s="12" t="s">
        <v>276</v>
      </c>
      <c r="D139" s="14">
        <f>IFERROR(VLOOKUP($B139, [1]Preliminar!$A$2:$E$449, 3, FALSE), 0)</f>
        <v>861</v>
      </c>
      <c r="E139" s="14">
        <f>IFERROR(VLOOKUP($B139, [1]Sist.!$A$2:$F$1057, 6, FALSE), 0)</f>
        <v>861</v>
      </c>
      <c r="F139" s="92">
        <f t="shared" si="2"/>
        <v>0</v>
      </c>
      <c r="G139" s="95"/>
    </row>
    <row r="140" spans="1:7" x14ac:dyDescent="0.15">
      <c r="A140" s="10"/>
      <c r="B140" s="17" t="s">
        <v>277</v>
      </c>
      <c r="C140" s="20" t="s">
        <v>278</v>
      </c>
      <c r="D140" s="14">
        <f>IFERROR(VLOOKUP($B140, [1]Preliminar!$A$2:$E$449, 3, FALSE), 0)</f>
        <v>460</v>
      </c>
      <c r="E140" s="14">
        <f>IFERROR(VLOOKUP($B140, [1]Sist.!$A$2:$F$1057, 6, FALSE), 0)</f>
        <v>460</v>
      </c>
      <c r="F140" s="92">
        <f t="shared" si="2"/>
        <v>0</v>
      </c>
      <c r="G140" s="95"/>
    </row>
    <row r="141" spans="1:7" x14ac:dyDescent="0.15">
      <c r="A141" s="10"/>
      <c r="B141" s="11" t="s">
        <v>279</v>
      </c>
      <c r="C141" s="12" t="s">
        <v>280</v>
      </c>
      <c r="D141" s="14">
        <f>IFERROR(VLOOKUP($B141, [1]Preliminar!$A$2:$E$449, 3, FALSE), 0)</f>
        <v>115</v>
      </c>
      <c r="E141" s="14">
        <f>IFERROR(VLOOKUP($B141, [1]Sist.!$A$2:$F$1057, 6, FALSE), 0)</f>
        <v>115</v>
      </c>
      <c r="F141" s="92">
        <f t="shared" si="2"/>
        <v>0</v>
      </c>
      <c r="G141" s="95"/>
    </row>
    <row r="142" spans="1:7" x14ac:dyDescent="0.15">
      <c r="A142" s="10"/>
      <c r="B142" s="11" t="s">
        <v>281</v>
      </c>
      <c r="C142" s="12" t="s">
        <v>282</v>
      </c>
      <c r="D142" s="14">
        <f>IFERROR(VLOOKUP($B142, [1]Preliminar!$A$2:$E$449, 3, FALSE), 0)</f>
        <v>427</v>
      </c>
      <c r="E142" s="14">
        <f>IFERROR(VLOOKUP($B142, [1]Sist.!$A$2:$F$1057, 6, FALSE), 0)</f>
        <v>427</v>
      </c>
      <c r="F142" s="92">
        <f t="shared" si="2"/>
        <v>0</v>
      </c>
      <c r="G142" s="95"/>
    </row>
    <row r="143" spans="1:7" x14ac:dyDescent="0.15">
      <c r="A143" s="10"/>
      <c r="B143" s="17" t="s">
        <v>283</v>
      </c>
      <c r="C143" s="73" t="s">
        <v>284</v>
      </c>
      <c r="D143" s="24">
        <f>IFERROR(VLOOKUP($B143, [1]Preliminar!$A$2:$E$449, 3, FALSE), 0)</f>
        <v>647</v>
      </c>
      <c r="E143" s="24">
        <f>IFERROR(VLOOKUP($B143, [1]Sist.!$A$2:$F$1057, 6, FALSE), 0)</f>
        <v>647</v>
      </c>
      <c r="F143" s="92">
        <f t="shared" si="2"/>
        <v>0</v>
      </c>
      <c r="G143" s="95"/>
    </row>
    <row r="144" spans="1:7" x14ac:dyDescent="0.15">
      <c r="A144" s="10"/>
      <c r="B144" s="11" t="s">
        <v>285</v>
      </c>
      <c r="C144" s="12" t="s">
        <v>286</v>
      </c>
      <c r="D144" s="14">
        <f>IFERROR(VLOOKUP($B144, [1]Preliminar!$A$2:$E$449, 3, FALSE), 0)</f>
        <v>396</v>
      </c>
      <c r="E144" s="14">
        <f>IFERROR(VLOOKUP($B144, [1]Sist.!$A$2:$F$1057, 6, FALSE), 0)</f>
        <v>396</v>
      </c>
      <c r="F144" s="92">
        <f t="shared" si="2"/>
        <v>0</v>
      </c>
      <c r="G144" s="95"/>
    </row>
    <row r="145" spans="1:7" x14ac:dyDescent="0.15">
      <c r="A145" s="10"/>
      <c r="B145" s="20" t="s">
        <v>287</v>
      </c>
      <c r="C145" s="12" t="s">
        <v>288</v>
      </c>
      <c r="D145" s="14">
        <f>IFERROR(VLOOKUP($B145, [1]Preliminar!$A$2:$E$449, 3, FALSE), 0)</f>
        <v>257</v>
      </c>
      <c r="E145" s="14">
        <f>IFERROR(VLOOKUP($B145, [1]Sist.!$A$2:$F$1057, 6, FALSE), 0)</f>
        <v>257</v>
      </c>
      <c r="F145" s="92">
        <f t="shared" si="2"/>
        <v>0</v>
      </c>
      <c r="G145" s="95"/>
    </row>
    <row r="146" spans="1:7" x14ac:dyDescent="0.15">
      <c r="A146" s="10"/>
      <c r="B146" s="11" t="s">
        <v>289</v>
      </c>
      <c r="C146" s="12" t="s">
        <v>290</v>
      </c>
      <c r="D146" s="14">
        <f>IFERROR(VLOOKUP($B146, [1]Preliminar!$A$2:$E$449, 3, FALSE), 0)</f>
        <v>457</v>
      </c>
      <c r="E146" s="14">
        <f>IFERROR(VLOOKUP($B146, [1]Sist.!$A$2:$F$1057, 6, FALSE), 0)</f>
        <v>457</v>
      </c>
      <c r="F146" s="92">
        <f t="shared" si="2"/>
        <v>0</v>
      </c>
      <c r="G146" s="95"/>
    </row>
    <row r="147" spans="1:7" x14ac:dyDescent="0.15">
      <c r="A147" s="10"/>
      <c r="B147" s="11" t="s">
        <v>291</v>
      </c>
      <c r="C147" s="12" t="s">
        <v>292</v>
      </c>
      <c r="D147" s="14">
        <f>IFERROR(VLOOKUP($B147, [1]Preliminar!$A$2:$E$449, 3, FALSE), 0)</f>
        <v>107</v>
      </c>
      <c r="E147" s="14">
        <f>IFERROR(VLOOKUP($B147, [1]Sist.!$A$2:$F$1057, 6, FALSE), 0)</f>
        <v>107</v>
      </c>
      <c r="F147" s="92">
        <f t="shared" si="2"/>
        <v>0</v>
      </c>
      <c r="G147" s="99"/>
    </row>
    <row r="148" spans="1:7" x14ac:dyDescent="0.15">
      <c r="A148" s="10"/>
      <c r="B148" s="11" t="s">
        <v>293</v>
      </c>
      <c r="C148" s="12" t="s">
        <v>294</v>
      </c>
      <c r="D148" s="14">
        <f>IFERROR(VLOOKUP($B148, [1]Preliminar!$A$2:$E$449, 3, FALSE), 0)</f>
        <v>115</v>
      </c>
      <c r="E148" s="14">
        <f>IFERROR(VLOOKUP($B148, [1]Sist.!$A$2:$F$1057, 6, FALSE), 0)</f>
        <v>115</v>
      </c>
      <c r="F148" s="92">
        <f t="shared" si="2"/>
        <v>0</v>
      </c>
      <c r="G148" s="95"/>
    </row>
    <row r="149" spans="1:7" x14ac:dyDescent="0.15">
      <c r="A149" s="10"/>
      <c r="B149" s="17" t="s">
        <v>295</v>
      </c>
      <c r="C149" s="12" t="s">
        <v>296</v>
      </c>
      <c r="D149" s="14">
        <f>IFERROR(VLOOKUP($B149, [1]Preliminar!$A$2:$E$449, 3, FALSE), 0)</f>
        <v>13</v>
      </c>
      <c r="E149" s="14">
        <f>IFERROR(VLOOKUP($B149, [1]Sist.!$A$2:$F$1057, 6, FALSE), 0)</f>
        <v>13</v>
      </c>
      <c r="F149" s="92">
        <f t="shared" si="2"/>
        <v>0</v>
      </c>
      <c r="G149" s="95"/>
    </row>
    <row r="150" spans="1:7" x14ac:dyDescent="0.15">
      <c r="A150" s="10"/>
      <c r="B150" s="100" t="s">
        <v>297</v>
      </c>
      <c r="C150" s="12" t="s">
        <v>298</v>
      </c>
      <c r="D150" s="14">
        <f>IFERROR(VLOOKUP($B150, [1]Preliminar!$A$2:$E$449, 3, FALSE), 0)</f>
        <v>1</v>
      </c>
      <c r="E150" s="14">
        <f>IFERROR(VLOOKUP($B150, [1]Sist.!$A$2:$F$1057, 6, FALSE), 0)</f>
        <v>1</v>
      </c>
      <c r="F150" s="92">
        <f t="shared" si="2"/>
        <v>0</v>
      </c>
      <c r="G150" s="95"/>
    </row>
    <row r="151" spans="1:7" x14ac:dyDescent="0.15">
      <c r="A151" s="10"/>
      <c r="B151" s="17" t="s">
        <v>299</v>
      </c>
      <c r="C151" s="20" t="s">
        <v>300</v>
      </c>
      <c r="D151" s="33">
        <f>IFERROR(VLOOKUP($B151, [1]Preliminar!$A$2:$E$449, 3, FALSE), 0)</f>
        <v>4</v>
      </c>
      <c r="E151" s="33">
        <f>IFERROR(VLOOKUP($B151, [1]Sist.!$A$2:$F$1057, 6, FALSE), 0)</f>
        <v>4</v>
      </c>
      <c r="F151" s="34">
        <f t="shared" si="2"/>
        <v>0</v>
      </c>
      <c r="G151" s="47"/>
    </row>
    <row r="152" spans="1:7" x14ac:dyDescent="0.15">
      <c r="A152" s="10"/>
      <c r="B152" s="101" t="s">
        <v>301</v>
      </c>
      <c r="C152" s="81" t="s">
        <v>302</v>
      </c>
      <c r="D152" s="83">
        <f>IFERROR(VLOOKUP($B152, [1]Preliminar!$A$2:$E$449, 3, FALSE), 0)</f>
        <v>15</v>
      </c>
      <c r="E152" s="83">
        <f>IFERROR(VLOOKUP($B152, [1]Sist.!$A$2:$F$1057, 6, FALSE), 0)</f>
        <v>15</v>
      </c>
      <c r="F152" s="102">
        <f t="shared" si="2"/>
        <v>0</v>
      </c>
      <c r="G152" s="103"/>
    </row>
    <row r="153" spans="1:7" x14ac:dyDescent="0.15">
      <c r="A153" s="10"/>
      <c r="B153" s="17" t="s">
        <v>303</v>
      </c>
      <c r="C153" s="12" t="s">
        <v>304</v>
      </c>
      <c r="D153" s="14">
        <f>IFERROR(VLOOKUP($B153, [1]Preliminar!$A$2:$E$449, 3, FALSE), 0)</f>
        <v>16</v>
      </c>
      <c r="E153" s="14">
        <f>IFERROR(VLOOKUP($B153, [1]Sist.!$A$2:$F$1057, 6, FALSE), 0)</f>
        <v>16</v>
      </c>
      <c r="F153" s="92">
        <f t="shared" si="2"/>
        <v>0</v>
      </c>
      <c r="G153" s="95"/>
    </row>
    <row r="154" spans="1:7" x14ac:dyDescent="0.15">
      <c r="A154" s="10"/>
      <c r="B154" s="17" t="s">
        <v>305</v>
      </c>
      <c r="C154" s="20" t="s">
        <v>306</v>
      </c>
      <c r="D154" s="14">
        <f>IFERROR(VLOOKUP($B154, [1]Preliminar!$A$2:$E$449, 3, FALSE), 0)</f>
        <v>157</v>
      </c>
      <c r="E154" s="14">
        <f>IFERROR(VLOOKUP($B154, [1]Sist.!$A$2:$F$1057, 6, FALSE), 0)</f>
        <v>157</v>
      </c>
      <c r="F154" s="92">
        <f t="shared" si="2"/>
        <v>0</v>
      </c>
      <c r="G154" s="95"/>
    </row>
    <row r="155" spans="1:7" x14ac:dyDescent="0.15">
      <c r="A155" s="10"/>
      <c r="B155" s="17" t="s">
        <v>307</v>
      </c>
      <c r="C155" s="12" t="s">
        <v>308</v>
      </c>
      <c r="D155" s="14">
        <f>IFERROR(VLOOKUP($B155, [1]Preliminar!$A$2:$E$449, 3, FALSE), 0)</f>
        <v>7</v>
      </c>
      <c r="E155" s="14">
        <f>IFERROR(VLOOKUP($B155, [1]Sist.!$A$2:$F$1057, 6, FALSE), 0)</f>
        <v>7</v>
      </c>
      <c r="F155" s="92">
        <f t="shared" si="2"/>
        <v>0</v>
      </c>
      <c r="G155" s="96"/>
    </row>
    <row r="156" spans="1:7" ht="12" thickBot="1" x14ac:dyDescent="0.2">
      <c r="A156" s="10"/>
      <c r="B156" s="104" t="s">
        <v>309</v>
      </c>
      <c r="C156" s="49" t="s">
        <v>310</v>
      </c>
      <c r="D156" s="51">
        <f>IFERROR(VLOOKUP($B156, [1]Preliminar!$A$2:$E$449, 3, FALSE), 0)</f>
        <v>12</v>
      </c>
      <c r="E156" s="51">
        <f>IFERROR(VLOOKUP($B156, [1]Sist.!$A$2:$F$1057, 6, FALSE), 0)</f>
        <v>12</v>
      </c>
      <c r="F156" s="105">
        <f t="shared" si="2"/>
        <v>0</v>
      </c>
      <c r="G156" s="106"/>
    </row>
    <row r="157" spans="1:7" ht="12" hidden="1" thickTop="1" x14ac:dyDescent="0.15">
      <c r="A157" s="61"/>
      <c r="B157" s="63" t="s">
        <v>311</v>
      </c>
      <c r="C157" s="63" t="s">
        <v>312</v>
      </c>
      <c r="D157" s="41">
        <f>IFERROR(VLOOKUP($B157, [1]Preliminar!$A$2:$E$449, 3, FALSE), 0)</f>
        <v>0</v>
      </c>
      <c r="E157" s="41">
        <f>IFERROR(VLOOKUP($B157, [1]Sist.!$A$2:$F$1057, 6, FALSE), 0)</f>
        <v>0</v>
      </c>
      <c r="F157" s="64">
        <f t="shared" si="2"/>
        <v>0</v>
      </c>
      <c r="G157" s="65"/>
    </row>
    <row r="158" spans="1:7" ht="12" hidden="1" thickTop="1" x14ac:dyDescent="0.15">
      <c r="A158" s="27"/>
      <c r="B158" s="20" t="s">
        <v>313</v>
      </c>
      <c r="C158" s="20" t="s">
        <v>314</v>
      </c>
      <c r="D158" s="33">
        <f>IFERROR(VLOOKUP($B158, [1]Preliminar!$A$2:$E$449, 3, FALSE), 0)</f>
        <v>0</v>
      </c>
      <c r="E158" s="33">
        <f>IFERROR(VLOOKUP($B158, [1]Sist.!$A$2:$F$1057, 6, FALSE), 0)</f>
        <v>0</v>
      </c>
      <c r="F158" s="66">
        <f t="shared" si="2"/>
        <v>0</v>
      </c>
      <c r="G158" s="67"/>
    </row>
    <row r="159" spans="1:7" ht="12" hidden="1" thickTop="1" x14ac:dyDescent="0.15">
      <c r="A159" s="10"/>
      <c r="B159" s="20" t="s">
        <v>315</v>
      </c>
      <c r="C159" s="20" t="s">
        <v>316</v>
      </c>
      <c r="D159" s="33">
        <f>IFERROR(VLOOKUP($B159, [1]Preliminar!$A$2:$E$449, 3, FALSE), 0)</f>
        <v>0</v>
      </c>
      <c r="E159" s="33">
        <f>IFERROR(VLOOKUP($B159, [1]Sist.!$A$2:$F$1057, 6, FALSE), 0)</f>
        <v>0</v>
      </c>
      <c r="F159" s="66">
        <f>D159-E159</f>
        <v>0</v>
      </c>
      <c r="G159" s="67"/>
    </row>
    <row r="160" spans="1:7" ht="12" hidden="1" thickTop="1" x14ac:dyDescent="0.15">
      <c r="A160" s="10"/>
      <c r="B160" s="107" t="s">
        <v>317</v>
      </c>
      <c r="C160" s="20" t="s">
        <v>318</v>
      </c>
      <c r="D160" s="33">
        <f>IFERROR(VLOOKUP($B160, [1]Preliminar!$A$2:$E$449, 3, FALSE), 0)</f>
        <v>0</v>
      </c>
      <c r="E160" s="33">
        <f>IFERROR(VLOOKUP($B160, [1]Sist.!$A$2:$F$1057, 6, FALSE), 0)</f>
        <v>0</v>
      </c>
      <c r="F160" s="66">
        <f>D160-E160</f>
        <v>0</v>
      </c>
      <c r="G160" s="67"/>
    </row>
    <row r="161" spans="1:7" ht="12" hidden="1" thickTop="1" x14ac:dyDescent="0.15">
      <c r="A161" s="10"/>
      <c r="B161" s="107" t="s">
        <v>319</v>
      </c>
      <c r="C161" s="20" t="s">
        <v>320</v>
      </c>
      <c r="D161" s="33">
        <f>IFERROR(VLOOKUP($B161, [1]Preliminar!$A$2:$E$449, 3, FALSE), 0)</f>
        <v>0</v>
      </c>
      <c r="E161" s="33">
        <f>IFERROR(VLOOKUP($B161, [1]Sist.!$A$2:$F$1057, 6, FALSE), 0)</f>
        <v>0</v>
      </c>
      <c r="F161" s="66">
        <f>D161-E161</f>
        <v>0</v>
      </c>
      <c r="G161" s="67"/>
    </row>
    <row r="162" spans="1:7" ht="12" hidden="1" thickTop="1" x14ac:dyDescent="0.15">
      <c r="A162" s="10"/>
      <c r="B162" s="20" t="s">
        <v>321</v>
      </c>
      <c r="C162" s="20" t="s">
        <v>322</v>
      </c>
      <c r="D162" s="33">
        <f>IFERROR(VLOOKUP($B162, [1]Preliminar!$A$2:$E$449, 3, FALSE), 0)</f>
        <v>0</v>
      </c>
      <c r="E162" s="33">
        <f>IFERROR(VLOOKUP($B162, [1]Sist.!$A$2:$F$1057, 6, FALSE), 0)</f>
        <v>0</v>
      </c>
      <c r="F162" s="66">
        <f>D162-E162</f>
        <v>0</v>
      </c>
      <c r="G162" s="67"/>
    </row>
    <row r="163" spans="1:7" ht="12" hidden="1" thickTop="1" x14ac:dyDescent="0.15">
      <c r="A163" s="27"/>
      <c r="B163" s="20" t="s">
        <v>323</v>
      </c>
      <c r="C163" s="20" t="s">
        <v>324</v>
      </c>
      <c r="D163" s="33">
        <f>IFERROR(VLOOKUP($B163, [1]Preliminar!$A$2:$E$449, 3, FALSE), 0)</f>
        <v>0</v>
      </c>
      <c r="E163" s="33">
        <f>IFERROR(VLOOKUP($B163, [1]Sist.!$A$2:$F$1057, 6, FALSE), 0)</f>
        <v>0</v>
      </c>
      <c r="F163" s="66">
        <f t="shared" si="2"/>
        <v>0</v>
      </c>
      <c r="G163" s="67"/>
    </row>
    <row r="164" spans="1:7" ht="12" hidden="1" thickTop="1" x14ac:dyDescent="0.15">
      <c r="A164" s="27"/>
      <c r="B164" s="20" t="s">
        <v>325</v>
      </c>
      <c r="C164" s="20" t="s">
        <v>326</v>
      </c>
      <c r="D164" s="33">
        <f>IFERROR(VLOOKUP($B164, [1]Preliminar!$A$2:$E$449, 3, FALSE), 0)</f>
        <v>0</v>
      </c>
      <c r="E164" s="33">
        <f>IFERROR(VLOOKUP($B164, [1]Sist.!$A$2:$F$1057, 6, FALSE), 0)</f>
        <v>0</v>
      </c>
      <c r="F164" s="66">
        <f t="shared" si="2"/>
        <v>0</v>
      </c>
      <c r="G164" s="67"/>
    </row>
    <row r="165" spans="1:7" ht="12" hidden="1" thickTop="1" x14ac:dyDescent="0.15">
      <c r="A165" s="10"/>
      <c r="B165" s="20" t="s">
        <v>327</v>
      </c>
      <c r="C165" s="20" t="s">
        <v>328</v>
      </c>
      <c r="D165" s="33">
        <f>IFERROR(VLOOKUP($B165, [1]Preliminar!$A$2:$E$449, 3, FALSE), 0)</f>
        <v>0</v>
      </c>
      <c r="E165" s="33">
        <f>IFERROR(VLOOKUP($B165, [1]Sist.!$A$2:$F$1057, 6, FALSE), 0)</f>
        <v>0</v>
      </c>
      <c r="F165" s="66">
        <f>D165-E165</f>
        <v>0</v>
      </c>
      <c r="G165" s="108"/>
    </row>
    <row r="166" spans="1:7" ht="12" hidden="1" thickTop="1" x14ac:dyDescent="0.15">
      <c r="A166" s="27"/>
      <c r="B166" s="20" t="s">
        <v>329</v>
      </c>
      <c r="C166" s="20" t="s">
        <v>330</v>
      </c>
      <c r="D166" s="33">
        <f>IFERROR(VLOOKUP($B166, [1]Preliminar!$A$2:$E$449, 3, FALSE), 0)</f>
        <v>0</v>
      </c>
      <c r="E166" s="33">
        <f>IFERROR(VLOOKUP($B166, [1]Sist.!$A$2:$F$1057, 6, FALSE), 0)</f>
        <v>0</v>
      </c>
      <c r="F166" s="66">
        <f t="shared" si="2"/>
        <v>0</v>
      </c>
      <c r="G166" s="67"/>
    </row>
    <row r="167" spans="1:7" ht="12" hidden="1" thickTop="1" x14ac:dyDescent="0.15">
      <c r="A167" s="27"/>
      <c r="B167" s="20" t="s">
        <v>331</v>
      </c>
      <c r="C167" s="20" t="s">
        <v>332</v>
      </c>
      <c r="D167" s="33">
        <f>IFERROR(VLOOKUP($B167, [1]Preliminar!$A$2:$E$449, 3, FALSE), 0)</f>
        <v>0</v>
      </c>
      <c r="E167" s="33">
        <f>IFERROR(VLOOKUP($B167, [1]Sist.!$A$2:$F$1057, 6, FALSE), 0)</f>
        <v>0</v>
      </c>
      <c r="F167" s="66">
        <f t="shared" si="2"/>
        <v>0</v>
      </c>
      <c r="G167" s="67"/>
    </row>
    <row r="168" spans="1:7" ht="12" hidden="1" thickTop="1" x14ac:dyDescent="0.15">
      <c r="A168" s="27"/>
      <c r="B168" s="20" t="s">
        <v>333</v>
      </c>
      <c r="C168" s="20" t="s">
        <v>334</v>
      </c>
      <c r="D168" s="33">
        <f>IFERROR(VLOOKUP($B168, [1]Preliminar!$A$2:$E$449, 3, FALSE), 0)</f>
        <v>0</v>
      </c>
      <c r="E168" s="33">
        <f>IFERROR(VLOOKUP($B168, [1]Sist.!$A$2:$F$1057, 6, FALSE), 0)</f>
        <v>0</v>
      </c>
      <c r="F168" s="66">
        <f t="shared" si="2"/>
        <v>0</v>
      </c>
      <c r="G168" s="68"/>
    </row>
    <row r="169" spans="1:7" ht="12" hidden="1" thickTop="1" x14ac:dyDescent="0.15">
      <c r="A169" s="10"/>
      <c r="B169" s="20" t="s">
        <v>335</v>
      </c>
      <c r="C169" s="20" t="s">
        <v>336</v>
      </c>
      <c r="D169" s="33">
        <f>IFERROR(VLOOKUP($B169, [1]Preliminar!$A$2:$E$449, 3, FALSE), 0)</f>
        <v>0</v>
      </c>
      <c r="E169" s="33">
        <f>IFERROR(VLOOKUP($B169, [1]Sist.!$A$2:$F$1057, 6, FALSE), 0)</f>
        <v>0</v>
      </c>
      <c r="F169" s="66">
        <f t="shared" si="2"/>
        <v>0</v>
      </c>
      <c r="G169" s="108"/>
    </row>
    <row r="170" spans="1:7" ht="12" hidden="1" thickTop="1" x14ac:dyDescent="0.15">
      <c r="A170" s="10"/>
      <c r="B170" s="20" t="s">
        <v>337</v>
      </c>
      <c r="C170" s="20" t="s">
        <v>338</v>
      </c>
      <c r="D170" s="33">
        <f>IFERROR(VLOOKUP($B170, [1]Preliminar!$A$2:$E$449, 3, FALSE), 0)</f>
        <v>0</v>
      </c>
      <c r="E170" s="33">
        <f>IFERROR(VLOOKUP($B170, [1]Sist.!$A$2:$F$1057, 6, FALSE), 0)</f>
        <v>0</v>
      </c>
      <c r="F170" s="66">
        <f t="shared" si="2"/>
        <v>0</v>
      </c>
      <c r="G170" s="68"/>
    </row>
    <row r="171" spans="1:7" ht="12" hidden="1" thickTop="1" x14ac:dyDescent="0.15">
      <c r="A171" s="10"/>
      <c r="B171" s="12" t="s">
        <v>339</v>
      </c>
      <c r="C171" s="12" t="s">
        <v>340</v>
      </c>
      <c r="D171" s="14">
        <f>IFERROR(VLOOKUP($B171, [1]Preliminar!$A$2:$E$449, 3, FALSE), 0)</f>
        <v>0</v>
      </c>
      <c r="E171" s="14">
        <f>IFERROR(VLOOKUP($B171, [1]Sist.!$A$2:$F$1057, 6, FALSE), 0)</f>
        <v>0</v>
      </c>
      <c r="F171" s="92">
        <f t="shared" si="2"/>
        <v>0</v>
      </c>
      <c r="G171" s="93"/>
    </row>
    <row r="172" spans="1:7" ht="12" hidden="1" thickTop="1" x14ac:dyDescent="0.15">
      <c r="A172" s="10"/>
      <c r="B172" s="11" t="s">
        <v>341</v>
      </c>
      <c r="C172" s="12" t="s">
        <v>342</v>
      </c>
      <c r="D172" s="14">
        <f>IFERROR(VLOOKUP($B172, [1]Preliminar!$A$2:$E$449, 3, FALSE), 0)</f>
        <v>0</v>
      </c>
      <c r="E172" s="14">
        <f>IFERROR(VLOOKUP($B172, [1]Sist.!$A$2:$F$1057, 6, FALSE), 0)</f>
        <v>0</v>
      </c>
      <c r="F172" s="92">
        <f t="shared" si="2"/>
        <v>0</v>
      </c>
      <c r="G172" s="109"/>
    </row>
    <row r="173" spans="1:7" ht="12" hidden="1" thickTop="1" x14ac:dyDescent="0.15">
      <c r="A173" s="10"/>
      <c r="B173" s="11" t="s">
        <v>343</v>
      </c>
      <c r="C173" s="12" t="s">
        <v>344</v>
      </c>
      <c r="D173" s="14">
        <f>IFERROR(VLOOKUP($B173, [1]Preliminar!$A$2:$E$449, 3, FALSE), 0)</f>
        <v>0</v>
      </c>
      <c r="E173" s="14">
        <f>IFERROR(VLOOKUP($B173, [1]Sist.!$A$2:$F$1057, 6, FALSE), 0)</f>
        <v>0</v>
      </c>
      <c r="F173" s="92">
        <f t="shared" si="2"/>
        <v>0</v>
      </c>
      <c r="G173" s="110"/>
    </row>
    <row r="174" spans="1:7" ht="12" hidden="1" thickTop="1" x14ac:dyDescent="0.15">
      <c r="A174" s="10"/>
      <c r="B174" s="100" t="s">
        <v>345</v>
      </c>
      <c r="C174" s="12" t="s">
        <v>346</v>
      </c>
      <c r="D174" s="14">
        <f>IFERROR(VLOOKUP($B174, [1]Preliminar!$A$2:$E$449, 3, FALSE), 0)</f>
        <v>0</v>
      </c>
      <c r="E174" s="14">
        <f>IFERROR(VLOOKUP($B174, [1]Sist.!$A$2:$F$1057, 6, FALSE), 0)</f>
        <v>0</v>
      </c>
      <c r="F174" s="92">
        <f t="shared" si="2"/>
        <v>0</v>
      </c>
      <c r="G174" s="109"/>
    </row>
    <row r="175" spans="1:7" ht="12" hidden="1" thickTop="1" x14ac:dyDescent="0.15">
      <c r="A175" s="10"/>
      <c r="B175" s="11" t="s">
        <v>347</v>
      </c>
      <c r="C175" s="12" t="s">
        <v>348</v>
      </c>
      <c r="D175" s="14">
        <f>IFERROR(VLOOKUP($B175, [1]Preliminar!$A$2:$E$449, 3, FALSE), 0)</f>
        <v>0</v>
      </c>
      <c r="E175" s="14">
        <f>IFERROR(VLOOKUP($B175, [1]Sist.!$A$2:$F$1057, 6, FALSE), 0)</f>
        <v>0</v>
      </c>
      <c r="F175" s="92">
        <f t="shared" si="2"/>
        <v>0</v>
      </c>
      <c r="G175" s="109"/>
    </row>
    <row r="176" spans="1:7" ht="12" hidden="1" thickTop="1" x14ac:dyDescent="0.15">
      <c r="A176" s="10"/>
      <c r="B176" s="101" t="s">
        <v>349</v>
      </c>
      <c r="C176" s="81" t="s">
        <v>350</v>
      </c>
      <c r="D176" s="83">
        <f>IFERROR(VLOOKUP($B176, [1]Preliminar!$A$2:$E$449, 3, FALSE), 0)</f>
        <v>0</v>
      </c>
      <c r="E176" s="83">
        <f>IFERROR(VLOOKUP($B176, [1]Sist.!$A$2:$F$1057, 6, FALSE), 0)</f>
        <v>0</v>
      </c>
      <c r="F176" s="102">
        <f t="shared" si="2"/>
        <v>0</v>
      </c>
      <c r="G176" s="111"/>
    </row>
    <row r="177" spans="1:7" ht="12" hidden="1" thickTop="1" x14ac:dyDescent="0.15">
      <c r="A177" s="10"/>
      <c r="B177" s="17" t="s">
        <v>351</v>
      </c>
      <c r="C177" s="12" t="s">
        <v>352</v>
      </c>
      <c r="D177" s="14">
        <f>IFERROR(VLOOKUP($B177, [1]Preliminar!$A$2:$E$449, 3, FALSE), 0)</f>
        <v>0</v>
      </c>
      <c r="E177" s="14">
        <f>IFERROR(VLOOKUP($B177, [1]Sist.!$A$2:$F$1057, 6, FALSE), 0)</f>
        <v>0</v>
      </c>
      <c r="F177" s="92">
        <f t="shared" si="2"/>
        <v>0</v>
      </c>
      <c r="G177" s="109"/>
    </row>
    <row r="178" spans="1:7" ht="12" hidden="1" thickTop="1" x14ac:dyDescent="0.15">
      <c r="A178" s="30"/>
      <c r="B178" s="17" t="s">
        <v>353</v>
      </c>
      <c r="C178" s="12" t="s">
        <v>354</v>
      </c>
      <c r="D178" s="14">
        <f>IFERROR(VLOOKUP($B178, [1]Preliminar!$A$2:$E$449, 3, FALSE), 0)</f>
        <v>0</v>
      </c>
      <c r="E178" s="14">
        <f>IFERROR(VLOOKUP($B178, [1]Sist.!$A$2:$F$1057, 6, FALSE), 0)</f>
        <v>0</v>
      </c>
      <c r="F178" s="92">
        <f t="shared" si="2"/>
        <v>0</v>
      </c>
      <c r="G178" s="109"/>
    </row>
    <row r="179" spans="1:7" ht="12" hidden="1" thickTop="1" x14ac:dyDescent="0.15">
      <c r="A179" s="10"/>
      <c r="B179" s="112" t="s">
        <v>355</v>
      </c>
      <c r="C179" s="12" t="s">
        <v>356</v>
      </c>
      <c r="D179" s="14">
        <f>IFERROR(VLOOKUP($B179, [1]Preliminar!$A$2:$E$449, 3, FALSE), 0)</f>
        <v>0</v>
      </c>
      <c r="E179" s="14">
        <f>IFERROR(VLOOKUP($B179, [1]Sist.!$A$2:$F$1057, 6, FALSE), 0)</f>
        <v>0</v>
      </c>
      <c r="F179" s="92">
        <f t="shared" ref="F179:F193" si="3">D179-E179</f>
        <v>0</v>
      </c>
      <c r="G179" s="109"/>
    </row>
    <row r="180" spans="1:7" ht="12" hidden="1" thickTop="1" x14ac:dyDescent="0.15">
      <c r="A180" s="10"/>
      <c r="B180" s="11" t="s">
        <v>357</v>
      </c>
      <c r="C180" s="94" t="s">
        <v>358</v>
      </c>
      <c r="D180" s="14">
        <f>IFERROR(VLOOKUP($B180, [1]Preliminar!$A$2:$E$449, 3, FALSE), 0)</f>
        <v>0</v>
      </c>
      <c r="E180" s="14">
        <f>IFERROR(VLOOKUP($B180, [1]Sist.!$A$2:$F$1057, 6, FALSE), 0)</f>
        <v>0</v>
      </c>
      <c r="F180" s="92">
        <f t="shared" si="3"/>
        <v>0</v>
      </c>
      <c r="G180" s="109"/>
    </row>
    <row r="181" spans="1:7" ht="12" hidden="1" thickTop="1" x14ac:dyDescent="0.15">
      <c r="A181" s="10"/>
      <c r="B181" s="11" t="s">
        <v>359</v>
      </c>
      <c r="C181" s="12" t="s">
        <v>360</v>
      </c>
      <c r="D181" s="14">
        <f>IFERROR(VLOOKUP($B181, [1]Preliminar!$A$2:$E$449, 3, FALSE), 0)</f>
        <v>0</v>
      </c>
      <c r="E181" s="14">
        <f>IFERROR(VLOOKUP($B181, [1]Sist.!$A$2:$F$1057, 6, FALSE), 0)</f>
        <v>0</v>
      </c>
      <c r="F181" s="92">
        <f t="shared" si="3"/>
        <v>0</v>
      </c>
      <c r="G181" s="109"/>
    </row>
    <row r="182" spans="1:7" ht="12" hidden="1" thickTop="1" x14ac:dyDescent="0.15">
      <c r="A182" s="10"/>
      <c r="B182" s="11" t="s">
        <v>361</v>
      </c>
      <c r="C182" s="12" t="s">
        <v>362</v>
      </c>
      <c r="D182" s="14">
        <f>IFERROR(VLOOKUP($B182, [1]Preliminar!$A$2:$E$449, 3, FALSE), 0)</f>
        <v>0</v>
      </c>
      <c r="E182" s="14">
        <f>IFERROR(VLOOKUP($B182, [1]Sist.!$A$2:$F$1057, 6, FALSE), 0)</f>
        <v>0</v>
      </c>
      <c r="F182" s="92">
        <f t="shared" si="3"/>
        <v>0</v>
      </c>
      <c r="G182" s="113"/>
    </row>
    <row r="183" spans="1:7" s="91" customFormat="1" ht="12" hidden="1" thickTop="1" x14ac:dyDescent="0.15">
      <c r="A183" s="10"/>
      <c r="B183" s="114" t="s">
        <v>363</v>
      </c>
      <c r="C183" s="115" t="s">
        <v>364</v>
      </c>
      <c r="D183" s="116">
        <f>IFERROR(VLOOKUP($B183, [1]Preliminar!$A$2:$E$449, 3, FALSE), 0)</f>
        <v>0</v>
      </c>
      <c r="E183" s="116">
        <f>IFERROR(VLOOKUP($B183, [1]Sist.!$A$2:$F$1057, 6, FALSE), 0)</f>
        <v>0</v>
      </c>
      <c r="F183" s="117">
        <f t="shared" si="3"/>
        <v>0</v>
      </c>
      <c r="G183" s="118"/>
    </row>
    <row r="184" spans="1:7" ht="12" hidden="1" thickTop="1" x14ac:dyDescent="0.15">
      <c r="A184" s="10"/>
      <c r="B184" s="100" t="s">
        <v>365</v>
      </c>
      <c r="C184" s="12" t="s">
        <v>366</v>
      </c>
      <c r="D184" s="14">
        <f>IFERROR(VLOOKUP($B184, [1]Preliminar!$A$2:$E$449, 3, FALSE), 0)</f>
        <v>0</v>
      </c>
      <c r="E184" s="14">
        <f>IFERROR(VLOOKUP($B184, [1]Sist.!$A$2:$F$1057, 6, FALSE), 0)</f>
        <v>0</v>
      </c>
      <c r="F184" s="92">
        <f t="shared" si="3"/>
        <v>0</v>
      </c>
      <c r="G184" s="36"/>
    </row>
    <row r="185" spans="1:7" ht="12" hidden="1" thickTop="1" x14ac:dyDescent="0.15">
      <c r="A185" s="10"/>
      <c r="B185" s="100" t="s">
        <v>367</v>
      </c>
      <c r="C185" s="12" t="s">
        <v>368</v>
      </c>
      <c r="D185" s="14">
        <f>IFERROR(VLOOKUP($B185, [1]Preliminar!$A$2:$E$449, 3, FALSE), 0)</f>
        <v>0</v>
      </c>
      <c r="E185" s="14">
        <f>IFERROR(VLOOKUP($B185, [1]Sist.!$A$2:$F$1057, 6, FALSE), 0)</f>
        <v>0</v>
      </c>
      <c r="F185" s="92">
        <f t="shared" si="3"/>
        <v>0</v>
      </c>
      <c r="G185" s="119"/>
    </row>
    <row r="186" spans="1:7" ht="12" hidden="1" thickTop="1" x14ac:dyDescent="0.15">
      <c r="A186" s="10"/>
      <c r="B186" s="17" t="s">
        <v>369</v>
      </c>
      <c r="C186" s="12" t="s">
        <v>370</v>
      </c>
      <c r="D186" s="14">
        <f>IFERROR(VLOOKUP($B186, [1]Preliminar!$A$2:$E$449, 3, FALSE), 0)</f>
        <v>0</v>
      </c>
      <c r="E186" s="14">
        <f>IFERROR(VLOOKUP($B186, [1]Sist.!$A$2:$F$1057, 6, FALSE), 0)</f>
        <v>0</v>
      </c>
      <c r="F186" s="92">
        <f t="shared" si="3"/>
        <v>0</v>
      </c>
      <c r="G186" s="95"/>
    </row>
    <row r="187" spans="1:7" ht="12" hidden="1" thickTop="1" x14ac:dyDescent="0.15">
      <c r="A187" s="10"/>
      <c r="B187" s="112" t="s">
        <v>371</v>
      </c>
      <c r="C187" s="12" t="s">
        <v>372</v>
      </c>
      <c r="D187" s="14">
        <f>IFERROR(VLOOKUP($B187, [1]Preliminar!$A$2:$E$449, 3, FALSE), 0)</f>
        <v>0</v>
      </c>
      <c r="E187" s="14">
        <f>IFERROR(VLOOKUP($B187, [1]Sist.!$A$2:$F$1057, 6, FALSE), 0)</f>
        <v>0</v>
      </c>
      <c r="F187" s="92">
        <f t="shared" si="3"/>
        <v>0</v>
      </c>
      <c r="G187" s="96"/>
    </row>
    <row r="188" spans="1:7" ht="12" hidden="1" thickTop="1" x14ac:dyDescent="0.15">
      <c r="A188" s="10"/>
      <c r="B188" s="11" t="s">
        <v>373</v>
      </c>
      <c r="C188" s="12" t="s">
        <v>374</v>
      </c>
      <c r="D188" s="14">
        <f>IFERROR(VLOOKUP($B188, [1]Preliminar!$A$2:$E$449, 3, FALSE), 0)</f>
        <v>0</v>
      </c>
      <c r="E188" s="14">
        <f>IFERROR(VLOOKUP($B188, [1]Sist.!$A$2:$F$1057, 6, FALSE), 0)</f>
        <v>0</v>
      </c>
      <c r="F188" s="92">
        <f t="shared" si="3"/>
        <v>0</v>
      </c>
      <c r="G188" s="95"/>
    </row>
    <row r="189" spans="1:7" ht="12" hidden="1" thickTop="1" x14ac:dyDescent="0.15">
      <c r="A189" s="10"/>
      <c r="B189" s="17" t="s">
        <v>375</v>
      </c>
      <c r="C189" s="12" t="s">
        <v>376</v>
      </c>
      <c r="D189" s="14">
        <f>IFERROR(VLOOKUP($B189, [1]Preliminar!$A$2:$E$449, 3, FALSE), 0)</f>
        <v>0</v>
      </c>
      <c r="E189" s="14">
        <f>IFERROR(VLOOKUP($B189, [1]Sist.!$A$2:$F$1057, 6, FALSE), 0)</f>
        <v>0</v>
      </c>
      <c r="F189" s="92">
        <f t="shared" si="3"/>
        <v>0</v>
      </c>
      <c r="G189" s="95"/>
    </row>
    <row r="190" spans="1:7" ht="12" hidden="1" thickTop="1" x14ac:dyDescent="0.15">
      <c r="A190" s="10"/>
      <c r="B190" s="11" t="s">
        <v>377</v>
      </c>
      <c r="C190" s="12" t="s">
        <v>378</v>
      </c>
      <c r="D190" s="14">
        <f>IFERROR(VLOOKUP($B190, [1]Preliminar!$A$2:$E$449, 3, FALSE), 0)</f>
        <v>0</v>
      </c>
      <c r="E190" s="14">
        <f>IFERROR(VLOOKUP($B190, [1]Sist.!$A$2:$F$1057, 6, FALSE), 0)</f>
        <v>0</v>
      </c>
      <c r="F190" s="92">
        <f t="shared" si="3"/>
        <v>0</v>
      </c>
      <c r="G190" s="95"/>
    </row>
    <row r="191" spans="1:7" ht="12" hidden="1" thickTop="1" x14ac:dyDescent="0.15">
      <c r="A191" s="10"/>
      <c r="B191" s="17" t="s">
        <v>379</v>
      </c>
      <c r="C191" s="20" t="s">
        <v>380</v>
      </c>
      <c r="D191" s="14">
        <f>IFERROR(VLOOKUP($B191, [1]Preliminar!$A$2:$E$449, 3, FALSE), 0)</f>
        <v>0</v>
      </c>
      <c r="E191" s="14">
        <f>IFERROR(VLOOKUP($B191, [1]Sist.!$A$2:$F$1057, 6, FALSE), 0)</f>
        <v>0</v>
      </c>
      <c r="F191" s="92">
        <f t="shared" si="3"/>
        <v>0</v>
      </c>
      <c r="G191" s="95"/>
    </row>
    <row r="192" spans="1:7" ht="12" hidden="1" thickTop="1" x14ac:dyDescent="0.15">
      <c r="A192" s="10"/>
      <c r="B192" s="17" t="s">
        <v>381</v>
      </c>
      <c r="C192" s="12" t="s">
        <v>382</v>
      </c>
      <c r="D192" s="14">
        <f>IFERROR(VLOOKUP($B192, [1]Preliminar!$A$2:$E$449, 3, FALSE), 0)</f>
        <v>0</v>
      </c>
      <c r="E192" s="14">
        <f>IFERROR(VLOOKUP($B192, [1]Sist.!$A$2:$F$1057, 6, FALSE), 0)</f>
        <v>0</v>
      </c>
      <c r="F192" s="92">
        <f t="shared" si="3"/>
        <v>0</v>
      </c>
      <c r="G192" s="95"/>
    </row>
    <row r="193" spans="1:7" ht="12" hidden="1" thickTop="1" x14ac:dyDescent="0.15">
      <c r="A193" s="10"/>
      <c r="B193" s="20" t="s">
        <v>383</v>
      </c>
      <c r="C193" s="12" t="s">
        <v>384</v>
      </c>
      <c r="D193" s="14">
        <f>IFERROR(VLOOKUP($B193, [1]Preliminar!$A$2:$E$449, 3, FALSE), 0)</f>
        <v>0</v>
      </c>
      <c r="E193" s="14">
        <f>IFERROR(VLOOKUP($B193, [1]Sist.!$A$2:$F$1057, 6, FALSE), 0)</f>
        <v>0</v>
      </c>
      <c r="F193" s="92">
        <f t="shared" si="3"/>
        <v>0</v>
      </c>
      <c r="G193" s="93"/>
    </row>
    <row r="194" spans="1:7" ht="12" thickTop="1" x14ac:dyDescent="0.15"/>
    <row r="195" spans="1:7" x14ac:dyDescent="0.15">
      <c r="B195" s="192" t="s">
        <v>385</v>
      </c>
      <c r="C195" s="192"/>
    </row>
    <row r="196" spans="1:7" x14ac:dyDescent="0.15">
      <c r="B196" s="120" t="s">
        <v>2</v>
      </c>
      <c r="C196" s="6" t="s">
        <v>3</v>
      </c>
      <c r="D196" s="6" t="s">
        <v>4</v>
      </c>
      <c r="E196" s="6" t="s">
        <v>5</v>
      </c>
      <c r="F196" s="9" t="s">
        <v>6</v>
      </c>
      <c r="G196" s="90" t="s">
        <v>7</v>
      </c>
    </row>
    <row r="197" spans="1:7" x14ac:dyDescent="0.15">
      <c r="A197" s="121"/>
      <c r="B197" s="20" t="s">
        <v>386</v>
      </c>
      <c r="C197" s="20" t="s">
        <v>387</v>
      </c>
      <c r="D197" s="14">
        <f>IFERROR(VLOOKUP($B197, [1]Preliminar!$A$2:$E$449, 3, FALSE), 0)</f>
        <v>46</v>
      </c>
      <c r="E197" s="14">
        <f>IFERROR(VLOOKUP($B197, [1]Sist.!$A$2:$F$1057, 6, FALSE), 0)</f>
        <v>46</v>
      </c>
      <c r="F197" s="92">
        <f t="shared" ref="F197:F224" si="4">D197-E197</f>
        <v>0</v>
      </c>
      <c r="G197" s="96"/>
    </row>
    <row r="198" spans="1:7" x14ac:dyDescent="0.15">
      <c r="A198" s="121"/>
      <c r="B198" s="20" t="s">
        <v>389</v>
      </c>
      <c r="C198" s="20" t="s">
        <v>390</v>
      </c>
      <c r="D198" s="14">
        <f>IFERROR(VLOOKUP($B198, [1]Preliminar!$A$2:$E$449, 3, FALSE), 0)</f>
        <v>24</v>
      </c>
      <c r="E198" s="14">
        <f>IFERROR(VLOOKUP($B198, [1]Sist.!$A$2:$F$1057, 6, FALSE), 0)</f>
        <v>24</v>
      </c>
      <c r="F198" s="92">
        <f t="shared" si="4"/>
        <v>0</v>
      </c>
      <c r="G198" s="96"/>
    </row>
    <row r="199" spans="1:7" x14ac:dyDescent="0.15">
      <c r="A199" s="121"/>
      <c r="B199" s="20" t="s">
        <v>391</v>
      </c>
      <c r="C199" s="20" t="s">
        <v>392</v>
      </c>
      <c r="D199" s="14">
        <f>IFERROR(VLOOKUP($B199, [1]Preliminar!$A$2:$E$449, 3, FALSE), 0)</f>
        <v>250</v>
      </c>
      <c r="E199" s="14">
        <f>IFERROR(VLOOKUP($B199, [1]Sist.!$A$2:$F$1057, 6, FALSE), 0)</f>
        <v>250</v>
      </c>
      <c r="F199" s="92">
        <f t="shared" si="4"/>
        <v>0</v>
      </c>
      <c r="G199" s="96"/>
    </row>
    <row r="200" spans="1:7" x14ac:dyDescent="0.15">
      <c r="A200" s="121"/>
      <c r="B200" s="20" t="s">
        <v>393</v>
      </c>
      <c r="C200" s="20" t="s">
        <v>394</v>
      </c>
      <c r="D200" s="14">
        <f>IFERROR(VLOOKUP($B200, [1]Preliminar!$A$2:$E$449, 3, FALSE), 0)</f>
        <v>1302</v>
      </c>
      <c r="E200" s="14">
        <f>IFERROR(VLOOKUP($B200, [1]Sist.!$A$2:$F$1057, 6, FALSE), 0)</f>
        <v>1302</v>
      </c>
      <c r="F200" s="92">
        <f t="shared" si="4"/>
        <v>0</v>
      </c>
      <c r="G200" s="36"/>
    </row>
    <row r="201" spans="1:7" x14ac:dyDescent="0.15">
      <c r="A201" s="121"/>
      <c r="B201" s="20" t="s">
        <v>395</v>
      </c>
      <c r="C201" s="20" t="s">
        <v>396</v>
      </c>
      <c r="D201" s="33">
        <f>IFERROR(VLOOKUP($B201, [1]Preliminar!$A$2:$E$449, 3, FALSE), 0)</f>
        <v>14</v>
      </c>
      <c r="E201" s="33">
        <f>IFERROR(VLOOKUP($B201, [1]Sist.!$A$2:$F$1057, 6, FALSE), 0)</f>
        <v>14</v>
      </c>
      <c r="F201" s="92">
        <f t="shared" si="4"/>
        <v>0</v>
      </c>
      <c r="G201" s="122" t="s">
        <v>397</v>
      </c>
    </row>
    <row r="202" spans="1:7" x14ac:dyDescent="0.15">
      <c r="A202" s="121"/>
      <c r="B202" s="20" t="s">
        <v>398</v>
      </c>
      <c r="C202" s="72" t="s">
        <v>399</v>
      </c>
      <c r="D202" s="33">
        <f>IFERROR(VLOOKUP($B202, [1]Preliminar!$A$2:$E$449, 3, FALSE), 0)</f>
        <v>1</v>
      </c>
      <c r="E202" s="33">
        <f>IFERROR(VLOOKUP($B202, [1]Sist.!$A$2:$F$1057, 6, FALSE), 0)</f>
        <v>1</v>
      </c>
      <c r="F202" s="92">
        <f t="shared" si="4"/>
        <v>0</v>
      </c>
      <c r="G202" s="47"/>
    </row>
    <row r="203" spans="1:7" x14ac:dyDescent="0.15">
      <c r="A203" s="121"/>
      <c r="B203" s="20" t="s">
        <v>400</v>
      </c>
      <c r="C203" s="20" t="s">
        <v>401</v>
      </c>
      <c r="D203" s="33">
        <f>IFERROR(VLOOKUP($B203, [1]Preliminar!$A$2:$E$449, 3, FALSE), 0)</f>
        <v>20</v>
      </c>
      <c r="E203" s="33">
        <f>IFERROR(VLOOKUP($B203, [1]Sist.!$A$2:$F$1057, 6, FALSE), 0)</f>
        <v>20</v>
      </c>
      <c r="F203" s="92">
        <f t="shared" si="4"/>
        <v>0</v>
      </c>
      <c r="G203" s="96"/>
    </row>
    <row r="204" spans="1:7" x14ac:dyDescent="0.15">
      <c r="A204" s="121"/>
      <c r="B204" s="20" t="s">
        <v>402</v>
      </c>
      <c r="C204" s="20" t="s">
        <v>403</v>
      </c>
      <c r="D204" s="33">
        <f>IFERROR(VLOOKUP($B204, [1]Preliminar!$A$2:$E$449, 3, FALSE), 0)</f>
        <v>29</v>
      </c>
      <c r="E204" s="33">
        <f>IFERROR(VLOOKUP($B204, [1]Sist.!$A$2:$F$1057, 6, FALSE), 0)</f>
        <v>29</v>
      </c>
      <c r="F204" s="92">
        <f t="shared" si="4"/>
        <v>0</v>
      </c>
      <c r="G204" s="96"/>
    </row>
    <row r="205" spans="1:7" x14ac:dyDescent="0.15">
      <c r="A205" s="121"/>
      <c r="B205" s="20" t="s">
        <v>404</v>
      </c>
      <c r="C205" s="20" t="s">
        <v>405</v>
      </c>
      <c r="D205" s="33">
        <f>IFERROR(VLOOKUP($B205, [1]Preliminar!$A$2:$E$449, 3, FALSE), 0)</f>
        <v>71</v>
      </c>
      <c r="E205" s="33">
        <f>IFERROR(VLOOKUP($B205, [1]Sist.!$A$2:$F$1057, 6, FALSE), 0)</f>
        <v>71</v>
      </c>
      <c r="F205" s="92">
        <f t="shared" si="4"/>
        <v>0</v>
      </c>
      <c r="G205" s="96"/>
    </row>
    <row r="206" spans="1:7" x14ac:dyDescent="0.15">
      <c r="A206" s="121"/>
      <c r="B206" s="20" t="s">
        <v>406</v>
      </c>
      <c r="C206" s="20" t="s">
        <v>407</v>
      </c>
      <c r="D206" s="33">
        <f>IFERROR(VLOOKUP($B206, [1]Preliminar!$A$2:$E$449, 3, FALSE), 0)</f>
        <v>85</v>
      </c>
      <c r="E206" s="33">
        <f>IFERROR(VLOOKUP($B206, [1]Sist.!$A$2:$F$1057, 6, FALSE), 0)</f>
        <v>85</v>
      </c>
      <c r="F206" s="92">
        <f t="shared" si="4"/>
        <v>0</v>
      </c>
      <c r="G206" s="96"/>
    </row>
    <row r="207" spans="1:7" x14ac:dyDescent="0.15">
      <c r="A207" s="121"/>
      <c r="B207" s="20" t="s">
        <v>408</v>
      </c>
      <c r="C207" s="20" t="s">
        <v>409</v>
      </c>
      <c r="D207" s="33">
        <f>IFERROR(VLOOKUP($B207, [1]Preliminar!$A$2:$E$449, 3, FALSE), 0)</f>
        <v>63</v>
      </c>
      <c r="E207" s="33">
        <f>IFERROR(VLOOKUP($B207, [1]Sist.!$A$2:$F$1057, 6, FALSE), 0)</f>
        <v>63</v>
      </c>
      <c r="F207" s="92">
        <f t="shared" si="4"/>
        <v>0</v>
      </c>
      <c r="G207" s="96"/>
    </row>
    <row r="208" spans="1:7" x14ac:dyDescent="0.15">
      <c r="A208" s="121"/>
      <c r="B208" s="20" t="s">
        <v>410</v>
      </c>
      <c r="C208" s="20" t="s">
        <v>411</v>
      </c>
      <c r="D208" s="33">
        <f>IFERROR(VLOOKUP($B208, [1]Preliminar!$A$2:$E$449, 3, FALSE), 0)</f>
        <v>1</v>
      </c>
      <c r="E208" s="33">
        <f>IFERROR(VLOOKUP($B208, [1]Sist.!$A$2:$F$1057, 6, FALSE), 0)</f>
        <v>1</v>
      </c>
      <c r="F208" s="92">
        <f t="shared" si="4"/>
        <v>0</v>
      </c>
      <c r="G208" s="96"/>
    </row>
    <row r="209" spans="1:7" x14ac:dyDescent="0.15">
      <c r="A209" s="121"/>
      <c r="B209" s="20" t="s">
        <v>412</v>
      </c>
      <c r="C209" s="20" t="s">
        <v>413</v>
      </c>
      <c r="D209" s="33">
        <f>IFERROR(VLOOKUP($B209, [1]Preliminar!$A$2:$E$449, 3, FALSE), 0)</f>
        <v>1041</v>
      </c>
      <c r="E209" s="33">
        <f>IFERROR(VLOOKUP($B209, [1]Sist.!$A$2:$F$1057, 6, FALSE), 0)</f>
        <v>741</v>
      </c>
      <c r="F209" s="92">
        <f t="shared" si="4"/>
        <v>300</v>
      </c>
      <c r="G209" s="96" t="s">
        <v>414</v>
      </c>
    </row>
    <row r="210" spans="1:7" x14ac:dyDescent="0.15">
      <c r="A210" s="121"/>
      <c r="B210" s="20" t="s">
        <v>415</v>
      </c>
      <c r="C210" s="20" t="s">
        <v>416</v>
      </c>
      <c r="D210" s="33">
        <f>IFERROR(VLOOKUP($B210, [1]Preliminar!$A$2:$E$449, 3, FALSE), 0)</f>
        <v>470</v>
      </c>
      <c r="E210" s="33">
        <f>IFERROR(VLOOKUP($B210, [1]Sist.!$A$2:$F$1057, 6, FALSE), 0)</f>
        <v>470</v>
      </c>
      <c r="F210" s="92">
        <f>D210-E210</f>
        <v>0</v>
      </c>
      <c r="G210" s="96"/>
    </row>
    <row r="211" spans="1:7" x14ac:dyDescent="0.15">
      <c r="A211" s="121"/>
      <c r="B211" s="20" t="s">
        <v>417</v>
      </c>
      <c r="C211" s="20" t="s">
        <v>418</v>
      </c>
      <c r="D211" s="33">
        <f>IFERROR(VLOOKUP($B211, [1]Preliminar!$A$2:$E$449, 3, FALSE), 0)</f>
        <v>1</v>
      </c>
      <c r="E211" s="33">
        <f>IFERROR(VLOOKUP($B211, [1]Sist.!$A$2:$F$1057, 6, FALSE), 0)</f>
        <v>1</v>
      </c>
      <c r="F211" s="92">
        <f t="shared" si="4"/>
        <v>0</v>
      </c>
      <c r="G211" s="96"/>
    </row>
    <row r="212" spans="1:7" x14ac:dyDescent="0.15">
      <c r="A212" s="121"/>
      <c r="B212" s="20" t="s">
        <v>419</v>
      </c>
      <c r="C212" s="20" t="s">
        <v>420</v>
      </c>
      <c r="D212" s="33">
        <f>IFERROR(VLOOKUP($B212, [1]Preliminar!$A$2:$E$449, 3, FALSE), 0)</f>
        <v>1</v>
      </c>
      <c r="E212" s="33">
        <f>IFERROR(VLOOKUP($B212, [1]Sist.!$A$2:$F$1057, 6, FALSE), 0)</f>
        <v>1</v>
      </c>
      <c r="F212" s="92">
        <f t="shared" si="4"/>
        <v>0</v>
      </c>
      <c r="G212" s="96"/>
    </row>
    <row r="213" spans="1:7" x14ac:dyDescent="0.15">
      <c r="A213" s="121"/>
      <c r="B213" s="20" t="s">
        <v>421</v>
      </c>
      <c r="C213" s="20" t="s">
        <v>422</v>
      </c>
      <c r="D213" s="33">
        <f>IFERROR(VLOOKUP($B213, [1]Preliminar!$A$2:$E$449, 3, FALSE), 0)</f>
        <v>1</v>
      </c>
      <c r="E213" s="33">
        <f>IFERROR(VLOOKUP($B213, [1]Sist.!$A$2:$F$1057, 6, FALSE), 0)</f>
        <v>1</v>
      </c>
      <c r="F213" s="92">
        <f t="shared" si="4"/>
        <v>0</v>
      </c>
      <c r="G213" s="96"/>
    </row>
    <row r="214" spans="1:7" x14ac:dyDescent="0.15">
      <c r="A214" s="121"/>
      <c r="B214" s="20" t="s">
        <v>423</v>
      </c>
      <c r="C214" s="20" t="s">
        <v>424</v>
      </c>
      <c r="D214" s="24">
        <f>IFERROR(VLOOKUP($B214, [1]Preliminar!$A$2:$E$449, 3, FALSE), 0)</f>
        <v>1</v>
      </c>
      <c r="E214" s="24">
        <f>IFERROR(VLOOKUP($B214, [1]Sist.!$A$2:$F$1057, 6, FALSE), 0)</f>
        <v>1</v>
      </c>
      <c r="F214" s="92">
        <f t="shared" si="4"/>
        <v>0</v>
      </c>
      <c r="G214" s="96"/>
    </row>
    <row r="215" spans="1:7" ht="12" thickBot="1" x14ac:dyDescent="0.2">
      <c r="A215" s="121"/>
      <c r="B215" s="49" t="s">
        <v>425</v>
      </c>
      <c r="C215" s="49" t="s">
        <v>426</v>
      </c>
      <c r="D215" s="54">
        <f>IFERROR(VLOOKUP($B215, [1]Preliminar!$A$2:$E$449, 3, FALSE), 0)</f>
        <v>1872</v>
      </c>
      <c r="E215" s="54">
        <f>IFERROR(VLOOKUP($B215, [1]Sist.!$A$2:$F$1057, 6, FALSE), 0)</f>
        <v>1872</v>
      </c>
      <c r="F215" s="105">
        <f t="shared" si="4"/>
        <v>0</v>
      </c>
      <c r="G215" s="106"/>
    </row>
    <row r="216" spans="1:7" ht="12" hidden="1" thickTop="1" x14ac:dyDescent="0.15">
      <c r="A216" s="123"/>
      <c r="B216" s="81" t="s">
        <v>427</v>
      </c>
      <c r="C216" s="81" t="s">
        <v>428</v>
      </c>
      <c r="D216" s="124">
        <f>IFERROR(VLOOKUP($B216, [1]Preliminar!$A$2:$E$449, 3, FALSE), 0)</f>
        <v>0</v>
      </c>
      <c r="E216" s="124">
        <f>IFERROR(VLOOKUP($B216, [1]Sist.!$A$2:$F$1057, 6, FALSE), 0)</f>
        <v>0</v>
      </c>
      <c r="F216" s="125">
        <f t="shared" si="4"/>
        <v>0</v>
      </c>
      <c r="G216" s="126"/>
    </row>
    <row r="217" spans="1:7" ht="12" hidden="1" thickTop="1" x14ac:dyDescent="0.15">
      <c r="A217" s="121"/>
      <c r="B217" s="127" t="s">
        <v>429</v>
      </c>
      <c r="C217" s="128" t="s">
        <v>430</v>
      </c>
      <c r="D217" s="14">
        <f>IFERROR(VLOOKUP($B217, [1]Preliminar!$A$2:$E$449, 3, FALSE), 0)</f>
        <v>0</v>
      </c>
      <c r="E217" s="14">
        <f>IFERROR(VLOOKUP($B217, [1]Sist.!$A$2:$F$1057, 6, FALSE), 0)</f>
        <v>0</v>
      </c>
      <c r="F217" s="92">
        <f t="shared" si="4"/>
        <v>0</v>
      </c>
      <c r="G217" s="45"/>
    </row>
    <row r="218" spans="1:7" ht="12" hidden="1" thickTop="1" x14ac:dyDescent="0.15">
      <c r="A218" s="121"/>
      <c r="B218" s="129" t="s">
        <v>431</v>
      </c>
      <c r="C218" s="12" t="s">
        <v>432</v>
      </c>
      <c r="D218" s="14">
        <f>IFERROR(VLOOKUP($B218, [1]Preliminar!$A$2:$E$449, 3, FALSE), 0)</f>
        <v>0</v>
      </c>
      <c r="E218" s="14">
        <f>IFERROR(VLOOKUP($B218, [1]Sist.!$A$2:$F$1057, 6, FALSE), 0)</f>
        <v>0</v>
      </c>
      <c r="F218" s="92">
        <f t="shared" si="4"/>
        <v>0</v>
      </c>
      <c r="G218" s="45"/>
    </row>
    <row r="219" spans="1:7" ht="12" hidden="1" thickTop="1" x14ac:dyDescent="0.15">
      <c r="A219" s="121"/>
      <c r="B219" s="72" t="s">
        <v>433</v>
      </c>
      <c r="C219" s="20" t="s">
        <v>434</v>
      </c>
      <c r="D219" s="130">
        <f>IFERROR(VLOOKUP($B219, [1]Preliminar!$A$2:$E$449, 3, FALSE), 0)</f>
        <v>2934</v>
      </c>
      <c r="E219" s="130">
        <f>IFERROR(VLOOKUP($B219, [1]Sist.!$A$2:$F$1057, 6, FALSE), 0)</f>
        <v>0</v>
      </c>
      <c r="F219" s="131">
        <f t="shared" si="4"/>
        <v>2934</v>
      </c>
      <c r="G219" s="132" t="s">
        <v>435</v>
      </c>
    </row>
    <row r="220" spans="1:7" ht="12" hidden="1" thickTop="1" x14ac:dyDescent="0.15">
      <c r="A220" s="121"/>
      <c r="B220" s="20" t="s">
        <v>436</v>
      </c>
      <c r="C220" s="20" t="s">
        <v>437</v>
      </c>
      <c r="D220" s="33">
        <f>IFERROR(VLOOKUP($B220, [1]Preliminar!$A$2:$E$449, 3, FALSE), 0)</f>
        <v>0</v>
      </c>
      <c r="E220" s="33">
        <f>IFERROR(VLOOKUP($B220, [1]Sist.!$A$2:$F$1057, 6, FALSE), 0)</f>
        <v>0</v>
      </c>
      <c r="F220" s="92">
        <f t="shared" si="4"/>
        <v>0</v>
      </c>
      <c r="G220" s="96"/>
    </row>
    <row r="221" spans="1:7" ht="12" hidden="1" thickTop="1" x14ac:dyDescent="0.15">
      <c r="A221" s="121"/>
      <c r="B221" s="20" t="s">
        <v>438</v>
      </c>
      <c r="C221" s="20" t="s">
        <v>439</v>
      </c>
      <c r="D221" s="33">
        <f>IFERROR(VLOOKUP($B221, [1]Preliminar!$A$2:$E$449, 3, FALSE), 0)</f>
        <v>0</v>
      </c>
      <c r="E221" s="33">
        <f>IFERROR(VLOOKUP($B221, [1]Sist.!$A$2:$F$1057, 6, FALSE), 0)</f>
        <v>0</v>
      </c>
      <c r="F221" s="92">
        <f t="shared" si="4"/>
        <v>0</v>
      </c>
      <c r="G221" s="96"/>
    </row>
    <row r="222" spans="1:7" ht="12" hidden="1" thickTop="1" x14ac:dyDescent="0.15">
      <c r="A222" s="121"/>
      <c r="B222" s="20" t="s">
        <v>440</v>
      </c>
      <c r="C222" s="20" t="s">
        <v>441</v>
      </c>
      <c r="D222" s="14">
        <f>IFERROR(VLOOKUP($B222, [1]Preliminar!$A$2:$E$449, 3, FALSE), 0)</f>
        <v>0</v>
      </c>
      <c r="E222" s="14">
        <f>IFERROR(VLOOKUP($B222, [1]Sist.!$A$2:$F$1057, 6, FALSE), 0)</f>
        <v>0</v>
      </c>
      <c r="F222" s="92">
        <f t="shared" si="4"/>
        <v>0</v>
      </c>
      <c r="G222" s="100"/>
    </row>
    <row r="223" spans="1:7" ht="12" hidden="1" thickTop="1" x14ac:dyDescent="0.15">
      <c r="A223" s="121"/>
      <c r="B223" s="20" t="s">
        <v>442</v>
      </c>
      <c r="C223" s="20" t="s">
        <v>443</v>
      </c>
      <c r="D223" s="33">
        <f>IFERROR(VLOOKUP($B223, [1]Preliminar!$A$2:$E$449, 3, FALSE), 0)</f>
        <v>0</v>
      </c>
      <c r="E223" s="33">
        <f>IFERROR(VLOOKUP($B223, [1]Sist.!$A$2:$F$1057, 6, FALSE), 0)</f>
        <v>0</v>
      </c>
      <c r="F223" s="92">
        <f t="shared" si="4"/>
        <v>0</v>
      </c>
      <c r="G223" s="47"/>
    </row>
    <row r="224" spans="1:7" ht="12" hidden="1" thickTop="1" x14ac:dyDescent="0.15">
      <c r="A224" s="133"/>
      <c r="B224" s="134" t="s">
        <v>444</v>
      </c>
      <c r="C224" s="134" t="s">
        <v>445</v>
      </c>
      <c r="D224" s="135">
        <f>IFERROR(VLOOKUP($B224, [1]Preliminar!$A$2:$E$449, 3, FALSE), 0)</f>
        <v>0</v>
      </c>
      <c r="E224" s="135">
        <f>IFERROR(VLOOKUP($B224, [1]Sist.!$A$2:$F$1057, 6, FALSE), 0)</f>
        <v>0</v>
      </c>
      <c r="F224" s="136">
        <f t="shared" si="4"/>
        <v>0</v>
      </c>
      <c r="G224" s="137"/>
    </row>
    <row r="225" ht="12" thickTop="1" x14ac:dyDescent="0.15"/>
  </sheetData>
  <mergeCells count="4">
    <mergeCell ref="B3:G3"/>
    <mergeCell ref="C4:G4"/>
    <mergeCell ref="B113:C113"/>
    <mergeCell ref="B195:C195"/>
  </mergeCells>
  <conditionalFormatting sqref="F6 F8:F9 F48 F214 F139:F144 F42 F44:F46 F14:F15 F51 F205:F212 F115:F137 F157:F193 F146:F153 F197:F201 F216:F224 F53 F38 F20:F24 F40 F60:F109 F26:F36">
    <cfRule type="cellIs" dxfId="222" priority="201" operator="lessThan">
      <formula>-0.1</formula>
    </cfRule>
    <cfRule type="cellIs" dxfId="221" priority="202" operator="greaterThan">
      <formula>0.1</formula>
    </cfRule>
  </conditionalFormatting>
  <conditionalFormatting sqref="F183">
    <cfRule type="cellIs" dxfId="220" priority="199" operator="lessThan">
      <formula>-0.1</formula>
    </cfRule>
    <cfRule type="cellIs" dxfId="219" priority="200" operator="greaterThan">
      <formula>0.1</formula>
    </cfRule>
  </conditionalFormatting>
  <conditionalFormatting sqref="G197:G199 G210:G214 G201:G208 G216:G224">
    <cfRule type="cellIs" dxfId="218" priority="198" operator="greaterThan">
      <formula>1</formula>
    </cfRule>
  </conditionalFormatting>
  <conditionalFormatting sqref="G144:G145 G115 G170:G192 G150">
    <cfRule type="cellIs" dxfId="217" priority="197" operator="greaterThan">
      <formula>0.1</formula>
    </cfRule>
  </conditionalFormatting>
  <conditionalFormatting sqref="F74">
    <cfRule type="cellIs" dxfId="216" priority="195" operator="lessThan">
      <formula>-0.1</formula>
    </cfRule>
    <cfRule type="cellIs" dxfId="215" priority="196" operator="greaterThan">
      <formula>0.1</formula>
    </cfRule>
  </conditionalFormatting>
  <conditionalFormatting sqref="D193 D165:E165 D214 D6:E6 D42 D48:E48 E214:E215 D8:E9 D157:D164 D166 D60:E60 D38:E38 D139:E144 D61:D65 D44:E46 D14:E15 D51:E51 E62:E64 D216:D224 D204:E212 D115:E137 D167:E192 D146:E153 D197:E201 E218:E223 D53:E53 D20:E24 D40:E40 D39 D66:E109 D26:E36">
    <cfRule type="cellIs" dxfId="214" priority="194" operator="equal">
      <formula>0</formula>
    </cfRule>
  </conditionalFormatting>
  <conditionalFormatting sqref="F51">
    <cfRule type="cellIs" dxfId="213" priority="192" operator="lessThan">
      <formula>-0.1</formula>
    </cfRule>
    <cfRule type="cellIs" dxfId="212" priority="193" operator="greaterThan">
      <formula>0.1</formula>
    </cfRule>
  </conditionalFormatting>
  <conditionalFormatting sqref="D51">
    <cfRule type="cellIs" dxfId="211" priority="191" operator="equal">
      <formula>0</formula>
    </cfRule>
  </conditionalFormatting>
  <conditionalFormatting sqref="G152 G30 G64 G192 G150 G36 G9:G13 G73:G109">
    <cfRule type="cellIs" dxfId="210" priority="190" operator="greaterThan">
      <formula>1</formula>
    </cfRule>
  </conditionalFormatting>
  <conditionalFormatting sqref="F215">
    <cfRule type="cellIs" dxfId="209" priority="188" operator="lessThan">
      <formula>-0.1</formula>
    </cfRule>
    <cfRule type="cellIs" dxfId="208" priority="189" operator="greaterThan">
      <formula>0.1</formula>
    </cfRule>
  </conditionalFormatting>
  <conditionalFormatting sqref="D215">
    <cfRule type="cellIs" dxfId="207" priority="187" operator="equal">
      <formula>0</formula>
    </cfRule>
  </conditionalFormatting>
  <conditionalFormatting sqref="F48">
    <cfRule type="cellIs" dxfId="206" priority="185" operator="lessThan">
      <formula>-0.1</formula>
    </cfRule>
    <cfRule type="cellIs" dxfId="205" priority="186" operator="greaterThan">
      <formula>0.1</formula>
    </cfRule>
  </conditionalFormatting>
  <conditionalFormatting sqref="D48">
    <cfRule type="cellIs" dxfId="204" priority="184" operator="equal">
      <formula>0</formula>
    </cfRule>
  </conditionalFormatting>
  <conditionalFormatting sqref="E48">
    <cfRule type="cellIs" dxfId="203" priority="183" operator="equal">
      <formula>0</formula>
    </cfRule>
  </conditionalFormatting>
  <conditionalFormatting sqref="F33">
    <cfRule type="cellIs" dxfId="202" priority="181" operator="lessThan">
      <formula>-0.1</formula>
    </cfRule>
    <cfRule type="cellIs" dxfId="201" priority="182" operator="greaterThan">
      <formula>0.1</formula>
    </cfRule>
  </conditionalFormatting>
  <conditionalFormatting sqref="D33">
    <cfRule type="cellIs" dxfId="200" priority="180" operator="equal">
      <formula>0</formula>
    </cfRule>
  </conditionalFormatting>
  <conditionalFormatting sqref="E33">
    <cfRule type="cellIs" dxfId="199" priority="179" operator="equal">
      <formula>0</formula>
    </cfRule>
  </conditionalFormatting>
  <conditionalFormatting sqref="G30 G36 G68:G109">
    <cfRule type="cellIs" dxfId="198" priority="170" operator="greaterThan">
      <formula>1</formula>
    </cfRule>
    <cfRule type="cellIs" dxfId="197" priority="178" operator="greaterThan">
      <formula>0.1</formula>
    </cfRule>
  </conditionalFormatting>
  <conditionalFormatting sqref="G62:G63">
    <cfRule type="cellIs" dxfId="196" priority="177" operator="greaterThan">
      <formula>1</formula>
    </cfRule>
  </conditionalFormatting>
  <conditionalFormatting sqref="G214">
    <cfRule type="cellIs" dxfId="195" priority="176" operator="greaterThan">
      <formula>1</formula>
    </cfRule>
  </conditionalFormatting>
  <conditionalFormatting sqref="G201:G202">
    <cfRule type="cellIs" dxfId="194" priority="175" operator="greaterThan">
      <formula>1</formula>
    </cfRule>
  </conditionalFormatting>
  <conditionalFormatting sqref="F7">
    <cfRule type="cellIs" dxfId="193" priority="173" operator="lessThan">
      <formula>-0.1</formula>
    </cfRule>
    <cfRule type="cellIs" dxfId="192" priority="174" operator="greaterThan">
      <formula>0.1</formula>
    </cfRule>
  </conditionalFormatting>
  <conditionalFormatting sqref="D7:E7">
    <cfRule type="cellIs" dxfId="191" priority="172" operator="equal">
      <formula>0</formula>
    </cfRule>
  </conditionalFormatting>
  <conditionalFormatting sqref="G175 G172:G173 G159:G162 G212:G213 G30 G170 G115:G116 G139:G148 G197 G217:G223 G177:G192 G150:G152 G36 G69:G109">
    <cfRule type="cellIs" dxfId="190" priority="169" operator="greaterThan">
      <formula>1</formula>
    </cfRule>
  </conditionalFormatting>
  <conditionalFormatting sqref="F9">
    <cfRule type="cellIs" dxfId="189" priority="167" operator="lessThan">
      <formula>-0.1</formula>
    </cfRule>
    <cfRule type="cellIs" dxfId="188" priority="168" operator="greaterThan">
      <formula>0.1</formula>
    </cfRule>
  </conditionalFormatting>
  <conditionalFormatting sqref="D9:E9">
    <cfRule type="cellIs" dxfId="187" priority="166" operator="equal">
      <formula>0</formula>
    </cfRule>
  </conditionalFormatting>
  <conditionalFormatting sqref="G131 G123:G129">
    <cfRule type="cellIs" dxfId="186" priority="165" operator="greaterThan">
      <formula>1</formula>
    </cfRule>
  </conditionalFormatting>
  <conditionalFormatting sqref="G64">
    <cfRule type="cellIs" dxfId="185" priority="164" operator="greaterThan">
      <formula>1</formula>
    </cfRule>
  </conditionalFormatting>
  <conditionalFormatting sqref="F159:F160">
    <cfRule type="cellIs" dxfId="184" priority="162" operator="lessThan">
      <formula>-0.1</formula>
    </cfRule>
    <cfRule type="cellIs" dxfId="183" priority="163" operator="greaterThan">
      <formula>0.1</formula>
    </cfRule>
  </conditionalFormatting>
  <conditionalFormatting sqref="D159:E160">
    <cfRule type="cellIs" dxfId="182" priority="161" operator="equal">
      <formula>0</formula>
    </cfRule>
  </conditionalFormatting>
  <conditionalFormatting sqref="F156">
    <cfRule type="cellIs" dxfId="181" priority="159" operator="lessThan">
      <formula>-0.1</formula>
    </cfRule>
    <cfRule type="cellIs" dxfId="180" priority="160" operator="greaterThan">
      <formula>0.1</formula>
    </cfRule>
  </conditionalFormatting>
  <conditionalFormatting sqref="D156:E156">
    <cfRule type="cellIs" dxfId="179" priority="158" operator="equal">
      <formula>0</formula>
    </cfRule>
  </conditionalFormatting>
  <conditionalFormatting sqref="F161:F162">
    <cfRule type="cellIs" dxfId="178" priority="156" operator="lessThan">
      <formula>-0.1</formula>
    </cfRule>
    <cfRule type="cellIs" dxfId="177" priority="157" operator="greaterThan">
      <formula>0.1</formula>
    </cfRule>
  </conditionalFormatting>
  <conditionalFormatting sqref="D161:E162">
    <cfRule type="cellIs" dxfId="176" priority="155" operator="equal">
      <formula>0</formula>
    </cfRule>
  </conditionalFormatting>
  <conditionalFormatting sqref="F20">
    <cfRule type="cellIs" dxfId="175" priority="153" operator="lessThan">
      <formula>-0.1</formula>
    </cfRule>
    <cfRule type="cellIs" dxfId="174" priority="154" operator="greaterThan">
      <formula>0.1</formula>
    </cfRule>
  </conditionalFormatting>
  <conditionalFormatting sqref="D20:E20">
    <cfRule type="cellIs" dxfId="173" priority="152" operator="equal">
      <formula>0</formula>
    </cfRule>
  </conditionalFormatting>
  <conditionalFormatting sqref="F20">
    <cfRule type="cellIs" dxfId="172" priority="150" operator="lessThan">
      <formula>-0.1</formula>
    </cfRule>
    <cfRule type="cellIs" dxfId="171" priority="151" operator="greaterThan">
      <formula>0.1</formula>
    </cfRule>
  </conditionalFormatting>
  <conditionalFormatting sqref="D20:E20">
    <cfRule type="cellIs" dxfId="170" priority="149" operator="equal">
      <formula>0</formula>
    </cfRule>
  </conditionalFormatting>
  <conditionalFormatting sqref="F20">
    <cfRule type="cellIs" dxfId="169" priority="147" operator="lessThan">
      <formula>-0.1</formula>
    </cfRule>
    <cfRule type="cellIs" dxfId="168" priority="148" operator="greaterThan">
      <formula>0.1</formula>
    </cfRule>
  </conditionalFormatting>
  <conditionalFormatting sqref="D20">
    <cfRule type="cellIs" dxfId="167" priority="146" operator="equal">
      <formula>0</formula>
    </cfRule>
  </conditionalFormatting>
  <conditionalFormatting sqref="E20">
    <cfRule type="cellIs" dxfId="166" priority="145" operator="equal">
      <formula>0</formula>
    </cfRule>
  </conditionalFormatting>
  <conditionalFormatting sqref="G142">
    <cfRule type="cellIs" dxfId="165" priority="144" operator="greaterThan">
      <formula>1</formula>
    </cfRule>
  </conditionalFormatting>
  <conditionalFormatting sqref="F212">
    <cfRule type="cellIs" dxfId="164" priority="142" operator="lessThan">
      <formula>-0.1</formula>
    </cfRule>
    <cfRule type="cellIs" dxfId="163" priority="143" operator="greaterThan">
      <formula>0.1</formula>
    </cfRule>
  </conditionalFormatting>
  <conditionalFormatting sqref="D212">
    <cfRule type="cellIs" dxfId="162" priority="141" operator="equal">
      <formula>0</formula>
    </cfRule>
  </conditionalFormatting>
  <conditionalFormatting sqref="F49">
    <cfRule type="cellIs" dxfId="161" priority="139" operator="lessThan">
      <formula>-0.1</formula>
    </cfRule>
    <cfRule type="cellIs" dxfId="160" priority="140" operator="greaterThan">
      <formula>0.1</formula>
    </cfRule>
  </conditionalFormatting>
  <conditionalFormatting sqref="D49:E49">
    <cfRule type="cellIs" dxfId="159" priority="138" operator="equal">
      <formula>0</formula>
    </cfRule>
  </conditionalFormatting>
  <conditionalFormatting sqref="F49">
    <cfRule type="cellIs" dxfId="158" priority="136" operator="lessThan">
      <formula>-0.1</formula>
    </cfRule>
    <cfRule type="cellIs" dxfId="157" priority="137" operator="greaterThan">
      <formula>0.1</formula>
    </cfRule>
  </conditionalFormatting>
  <conditionalFormatting sqref="D49">
    <cfRule type="cellIs" dxfId="156" priority="135" operator="equal">
      <formula>0</formula>
    </cfRule>
  </conditionalFormatting>
  <conditionalFormatting sqref="E49">
    <cfRule type="cellIs" dxfId="155" priority="134" operator="equal">
      <formula>0</formula>
    </cfRule>
  </conditionalFormatting>
  <conditionalFormatting sqref="F154">
    <cfRule type="cellIs" dxfId="154" priority="132" operator="lessThan">
      <formula>-0.1</formula>
    </cfRule>
    <cfRule type="cellIs" dxfId="153" priority="133" operator="greaterThan">
      <formula>0.1</formula>
    </cfRule>
  </conditionalFormatting>
  <conditionalFormatting sqref="D154:E154">
    <cfRule type="cellIs" dxfId="152" priority="131" operator="equal">
      <formula>0</formula>
    </cfRule>
  </conditionalFormatting>
  <conditionalFormatting sqref="G133">
    <cfRule type="cellIs" dxfId="151" priority="130" operator="greaterThan">
      <formula>1</formula>
    </cfRule>
  </conditionalFormatting>
  <conditionalFormatting sqref="G76:G77">
    <cfRule type="cellIs" dxfId="150" priority="129" operator="greaterThan">
      <formula>1</formula>
    </cfRule>
  </conditionalFormatting>
  <conditionalFormatting sqref="F155">
    <cfRule type="cellIs" dxfId="149" priority="124" operator="lessThan">
      <formula>-0.1</formula>
    </cfRule>
    <cfRule type="cellIs" dxfId="148" priority="125" operator="greaterThan">
      <formula>0.1</formula>
    </cfRule>
  </conditionalFormatting>
  <conditionalFormatting sqref="D155:E155">
    <cfRule type="cellIs" dxfId="147" priority="123" operator="equal">
      <formula>0</formula>
    </cfRule>
  </conditionalFormatting>
  <conditionalFormatting sqref="G149:G150">
    <cfRule type="cellIs" dxfId="146" priority="122" operator="greaterThan">
      <formula>1</formula>
    </cfRule>
  </conditionalFormatting>
  <conditionalFormatting sqref="G153">
    <cfRule type="cellIs" dxfId="145" priority="121" operator="greaterThan">
      <formula>1</formula>
    </cfRule>
  </conditionalFormatting>
  <conditionalFormatting sqref="G154">
    <cfRule type="cellIs" dxfId="144" priority="120" operator="greaterThan">
      <formula>1</formula>
    </cfRule>
  </conditionalFormatting>
  <conditionalFormatting sqref="G156">
    <cfRule type="cellIs" dxfId="143" priority="119" operator="greaterThan">
      <formula>1</formula>
    </cfRule>
  </conditionalFormatting>
  <conditionalFormatting sqref="F202">
    <cfRule type="cellIs" dxfId="142" priority="117" operator="lessThan">
      <formula>-0.1</formula>
    </cfRule>
    <cfRule type="cellIs" dxfId="141" priority="118" operator="greaterThan">
      <formula>0.1</formula>
    </cfRule>
  </conditionalFormatting>
  <conditionalFormatting sqref="D202:E202">
    <cfRule type="cellIs" dxfId="140" priority="116" operator="equal">
      <formula>0</formula>
    </cfRule>
  </conditionalFormatting>
  <conditionalFormatting sqref="F189">
    <cfRule type="cellIs" dxfId="139" priority="114" operator="lessThan">
      <formula>-0.1</formula>
    </cfRule>
    <cfRule type="cellIs" dxfId="138" priority="115" operator="greaterThan">
      <formula>0.1</formula>
    </cfRule>
  </conditionalFormatting>
  <conditionalFormatting sqref="D189:E189">
    <cfRule type="cellIs" dxfId="137" priority="113" operator="equal">
      <formula>0</formula>
    </cfRule>
  </conditionalFormatting>
  <conditionalFormatting sqref="F50">
    <cfRule type="cellIs" dxfId="136" priority="111" operator="lessThan">
      <formula>-0.1</formula>
    </cfRule>
    <cfRule type="cellIs" dxfId="135" priority="112" operator="greaterThan">
      <formula>0.1</formula>
    </cfRule>
  </conditionalFormatting>
  <conditionalFormatting sqref="D50:E50">
    <cfRule type="cellIs" dxfId="134" priority="110" operator="equal">
      <formula>0</formula>
    </cfRule>
  </conditionalFormatting>
  <conditionalFormatting sqref="F50">
    <cfRule type="cellIs" dxfId="133" priority="108" operator="lessThan">
      <formula>-0.1</formula>
    </cfRule>
    <cfRule type="cellIs" dxfId="132" priority="109" operator="greaterThan">
      <formula>0.1</formula>
    </cfRule>
  </conditionalFormatting>
  <conditionalFormatting sqref="D50">
    <cfRule type="cellIs" dxfId="131" priority="107" operator="equal">
      <formula>0</formula>
    </cfRule>
  </conditionalFormatting>
  <conditionalFormatting sqref="E50">
    <cfRule type="cellIs" dxfId="130" priority="106" operator="equal">
      <formula>0</formula>
    </cfRule>
  </conditionalFormatting>
  <conditionalFormatting sqref="F47">
    <cfRule type="cellIs" dxfId="129" priority="104" operator="lessThan">
      <formula>-0.1</formula>
    </cfRule>
    <cfRule type="cellIs" dxfId="128" priority="105" operator="greaterThan">
      <formula>0.1</formula>
    </cfRule>
  </conditionalFormatting>
  <conditionalFormatting sqref="D47">
    <cfRule type="cellIs" dxfId="127" priority="103" operator="equal">
      <formula>0</formula>
    </cfRule>
  </conditionalFormatting>
  <conditionalFormatting sqref="F41">
    <cfRule type="cellIs" dxfId="126" priority="101" operator="lessThan">
      <formula>-0.1</formula>
    </cfRule>
    <cfRule type="cellIs" dxfId="125" priority="102" operator="greaterThan">
      <formula>0.1</formula>
    </cfRule>
  </conditionalFormatting>
  <conditionalFormatting sqref="D41:E41">
    <cfRule type="cellIs" dxfId="124" priority="100" operator="equal">
      <formula>0</formula>
    </cfRule>
  </conditionalFormatting>
  <conditionalFormatting sqref="G63">
    <cfRule type="cellIs" dxfId="123" priority="99" operator="greaterThan">
      <formula>1</formula>
    </cfRule>
  </conditionalFormatting>
  <conditionalFormatting sqref="F104:F108">
    <cfRule type="cellIs" dxfId="122" priority="97" operator="lessThan">
      <formula>-0.1</formula>
    </cfRule>
    <cfRule type="cellIs" dxfId="121" priority="98" operator="greaterThan">
      <formula>0.1</formula>
    </cfRule>
  </conditionalFormatting>
  <conditionalFormatting sqref="D104:E108">
    <cfRule type="cellIs" dxfId="120" priority="96" operator="equal">
      <formula>0</formula>
    </cfRule>
  </conditionalFormatting>
  <conditionalFormatting sqref="F43:F46">
    <cfRule type="cellIs" dxfId="119" priority="94" operator="lessThan">
      <formula>-0.1</formula>
    </cfRule>
    <cfRule type="cellIs" dxfId="118" priority="95" operator="greaterThan">
      <formula>0.1</formula>
    </cfRule>
  </conditionalFormatting>
  <conditionalFormatting sqref="D43:D46">
    <cfRule type="cellIs" dxfId="117" priority="93" operator="equal">
      <formula>0</formula>
    </cfRule>
  </conditionalFormatting>
  <conditionalFormatting sqref="F77">
    <cfRule type="cellIs" dxfId="116" priority="91" operator="lessThan">
      <formula>-0.1</formula>
    </cfRule>
    <cfRule type="cellIs" dxfId="115" priority="92" operator="greaterThan">
      <formula>0.1</formula>
    </cfRule>
  </conditionalFormatting>
  <conditionalFormatting sqref="D77:E77">
    <cfRule type="cellIs" dxfId="114" priority="90" operator="equal">
      <formula>0</formula>
    </cfRule>
  </conditionalFormatting>
  <conditionalFormatting sqref="F77">
    <cfRule type="cellIs" dxfId="113" priority="88" operator="lessThan">
      <formula>-0.1</formula>
    </cfRule>
    <cfRule type="cellIs" dxfId="112" priority="89" operator="greaterThan">
      <formula>0.1</formula>
    </cfRule>
  </conditionalFormatting>
  <conditionalFormatting sqref="D77">
    <cfRule type="cellIs" dxfId="111" priority="87" operator="equal">
      <formula>0</formula>
    </cfRule>
  </conditionalFormatting>
  <conditionalFormatting sqref="E77">
    <cfRule type="cellIs" dxfId="110" priority="86" operator="equal">
      <formula>0</formula>
    </cfRule>
  </conditionalFormatting>
  <conditionalFormatting sqref="D213:E213">
    <cfRule type="cellIs" dxfId="109" priority="85" operator="equal">
      <formula>0</formula>
    </cfRule>
  </conditionalFormatting>
  <conditionalFormatting sqref="D213">
    <cfRule type="cellIs" dxfId="108" priority="84" operator="equal">
      <formula>0</formula>
    </cfRule>
  </conditionalFormatting>
  <conditionalFormatting sqref="G200">
    <cfRule type="cellIs" dxfId="107" priority="83" operator="greaterThan">
      <formula>1</formula>
    </cfRule>
  </conditionalFormatting>
  <conditionalFormatting sqref="G6">
    <cfRule type="cellIs" dxfId="106" priority="82" operator="greaterThan">
      <formula>1</formula>
    </cfRule>
  </conditionalFormatting>
  <conditionalFormatting sqref="G51">
    <cfRule type="cellIs" dxfId="105" priority="80" operator="greaterThan">
      <formula>1</formula>
    </cfRule>
    <cfRule type="cellIs" dxfId="104" priority="81" operator="greaterThan">
      <formula>1</formula>
    </cfRule>
  </conditionalFormatting>
  <conditionalFormatting sqref="F138">
    <cfRule type="cellIs" dxfId="103" priority="78" operator="lessThan">
      <formula>-0.1</formula>
    </cfRule>
    <cfRule type="cellIs" dxfId="102" priority="79" operator="greaterThan">
      <formula>0.1</formula>
    </cfRule>
  </conditionalFormatting>
  <conditionalFormatting sqref="D138:E138">
    <cfRule type="cellIs" dxfId="101" priority="77" operator="equal">
      <formula>0</formula>
    </cfRule>
  </conditionalFormatting>
  <conditionalFormatting sqref="F203">
    <cfRule type="cellIs" dxfId="100" priority="75" operator="lessThan">
      <formula>-0.1</formula>
    </cfRule>
    <cfRule type="cellIs" dxfId="99" priority="76" operator="greaterThan">
      <formula>0.1</formula>
    </cfRule>
  </conditionalFormatting>
  <conditionalFormatting sqref="D203:E203">
    <cfRule type="cellIs" dxfId="98" priority="74" operator="equal">
      <formula>0</formula>
    </cfRule>
  </conditionalFormatting>
  <conditionalFormatting sqref="F54">
    <cfRule type="cellIs" dxfId="97" priority="72" operator="lessThan">
      <formula>-0.1</formula>
    </cfRule>
    <cfRule type="cellIs" dxfId="96" priority="73" operator="greaterThan">
      <formula>0.1</formula>
    </cfRule>
  </conditionalFormatting>
  <conditionalFormatting sqref="D54:E54">
    <cfRule type="cellIs" dxfId="95" priority="71" operator="equal">
      <formula>0</formula>
    </cfRule>
  </conditionalFormatting>
  <conditionalFormatting sqref="F54">
    <cfRule type="cellIs" dxfId="94" priority="69" operator="lessThan">
      <formula>-0.1</formula>
    </cfRule>
    <cfRule type="cellIs" dxfId="93" priority="70" operator="greaterThan">
      <formula>0.1</formula>
    </cfRule>
  </conditionalFormatting>
  <conditionalFormatting sqref="D54">
    <cfRule type="cellIs" dxfId="92" priority="68" operator="equal">
      <formula>0</formula>
    </cfRule>
  </conditionalFormatting>
  <conditionalFormatting sqref="E54">
    <cfRule type="cellIs" dxfId="91" priority="67" operator="equal">
      <formula>0</formula>
    </cfRule>
  </conditionalFormatting>
  <conditionalFormatting sqref="F37">
    <cfRule type="cellIs" dxfId="90" priority="65" operator="lessThan">
      <formula>-0.1</formula>
    </cfRule>
    <cfRule type="cellIs" dxfId="89" priority="66" operator="greaterThan">
      <formula>0.1</formula>
    </cfRule>
  </conditionalFormatting>
  <conditionalFormatting sqref="D37:E37">
    <cfRule type="cellIs" dxfId="88" priority="64" operator="equal">
      <formula>0</formula>
    </cfRule>
  </conditionalFormatting>
  <conditionalFormatting sqref="F213">
    <cfRule type="cellIs" dxfId="87" priority="62" operator="lessThan">
      <formula>-0.1</formula>
    </cfRule>
    <cfRule type="cellIs" dxfId="86" priority="63" operator="greaterThan">
      <formula>0.1</formula>
    </cfRule>
  </conditionalFormatting>
  <conditionalFormatting sqref="F145">
    <cfRule type="cellIs" dxfId="85" priority="60" operator="lessThan">
      <formula>-0.1</formula>
    </cfRule>
    <cfRule type="cellIs" dxfId="84" priority="61" operator="greaterThan">
      <formula>0.1</formula>
    </cfRule>
  </conditionalFormatting>
  <conditionalFormatting sqref="D145:E145">
    <cfRule type="cellIs" dxfId="83" priority="59" operator="equal">
      <formula>0</formula>
    </cfRule>
  </conditionalFormatting>
  <conditionalFormatting sqref="F204">
    <cfRule type="cellIs" dxfId="82" priority="57" operator="lessThan">
      <formula>-0.1</formula>
    </cfRule>
    <cfRule type="cellIs" dxfId="81" priority="58" operator="greaterThan">
      <formula>0.1</formula>
    </cfRule>
  </conditionalFormatting>
  <conditionalFormatting sqref="G205">
    <cfRule type="cellIs" dxfId="80" priority="56" operator="greaterThan">
      <formula>1</formula>
    </cfRule>
  </conditionalFormatting>
  <conditionalFormatting sqref="G204">
    <cfRule type="cellIs" dxfId="79" priority="55" operator="greaterThan">
      <formula>1</formula>
    </cfRule>
  </conditionalFormatting>
  <conditionalFormatting sqref="F18">
    <cfRule type="cellIs" dxfId="78" priority="53" operator="lessThan">
      <formula>-0.1</formula>
    </cfRule>
    <cfRule type="cellIs" dxfId="77" priority="54" operator="greaterThan">
      <formula>0.1</formula>
    </cfRule>
  </conditionalFormatting>
  <conditionalFormatting sqref="D18:E18">
    <cfRule type="cellIs" dxfId="76" priority="52" operator="equal">
      <formula>0</formula>
    </cfRule>
  </conditionalFormatting>
  <conditionalFormatting sqref="F19">
    <cfRule type="cellIs" dxfId="75" priority="50" operator="lessThan">
      <formula>-0.1</formula>
    </cfRule>
    <cfRule type="cellIs" dxfId="74" priority="51" operator="greaterThan">
      <formula>0.1</formula>
    </cfRule>
  </conditionalFormatting>
  <conditionalFormatting sqref="D19:E19">
    <cfRule type="cellIs" dxfId="73" priority="49" operator="equal">
      <formula>0</formula>
    </cfRule>
  </conditionalFormatting>
  <conditionalFormatting sqref="F17">
    <cfRule type="cellIs" dxfId="72" priority="47" operator="lessThan">
      <formula>-0.1</formula>
    </cfRule>
    <cfRule type="cellIs" dxfId="71" priority="48" operator="greaterThan">
      <formula>0.1</formula>
    </cfRule>
  </conditionalFormatting>
  <conditionalFormatting sqref="D17:E17">
    <cfRule type="cellIs" dxfId="70" priority="46" operator="equal">
      <formula>0</formula>
    </cfRule>
  </conditionalFormatting>
  <conditionalFormatting sqref="F10:F12 F108">
    <cfRule type="cellIs" dxfId="69" priority="44" operator="lessThan">
      <formula>-0.1</formula>
    </cfRule>
    <cfRule type="cellIs" dxfId="68" priority="45" operator="greaterThan">
      <formula>0.1</formula>
    </cfRule>
  </conditionalFormatting>
  <conditionalFormatting sqref="D10:E12 D108:E108">
    <cfRule type="cellIs" dxfId="67" priority="43" operator="equal">
      <formula>0</formula>
    </cfRule>
  </conditionalFormatting>
  <conditionalFormatting sqref="F10:F12 F108">
    <cfRule type="cellIs" dxfId="66" priority="41" operator="lessThan">
      <formula>-0.1</formula>
    </cfRule>
    <cfRule type="cellIs" dxfId="65" priority="42" operator="greaterThan">
      <formula>0.1</formula>
    </cfRule>
  </conditionalFormatting>
  <conditionalFormatting sqref="D10:E12 D108:E108">
    <cfRule type="cellIs" dxfId="64" priority="40" operator="equal">
      <formula>0</formula>
    </cfRule>
  </conditionalFormatting>
  <conditionalFormatting sqref="G223">
    <cfRule type="cellIs" dxfId="63" priority="39" operator="greaterThan">
      <formula>1</formula>
    </cfRule>
  </conditionalFormatting>
  <conditionalFormatting sqref="F13">
    <cfRule type="cellIs" dxfId="62" priority="37" operator="lessThan">
      <formula>-0.1</formula>
    </cfRule>
    <cfRule type="cellIs" dxfId="61" priority="38" operator="greaterThan">
      <formula>0.1</formula>
    </cfRule>
  </conditionalFormatting>
  <conditionalFormatting sqref="D13:E13">
    <cfRule type="cellIs" dxfId="60" priority="36" operator="equal">
      <formula>0</formula>
    </cfRule>
  </conditionalFormatting>
  <conditionalFormatting sqref="F13">
    <cfRule type="cellIs" dxfId="59" priority="34" operator="lessThan">
      <formula>-0.1</formula>
    </cfRule>
    <cfRule type="cellIs" dxfId="58" priority="35" operator="greaterThan">
      <formula>0.1</formula>
    </cfRule>
  </conditionalFormatting>
  <conditionalFormatting sqref="D13:E13">
    <cfRule type="cellIs" dxfId="57" priority="33" operator="equal">
      <formula>0</formula>
    </cfRule>
  </conditionalFormatting>
  <conditionalFormatting sqref="F39">
    <cfRule type="cellIs" dxfId="56" priority="31" operator="lessThan">
      <formula>-0.1</formula>
    </cfRule>
    <cfRule type="cellIs" dxfId="55" priority="32" operator="greaterThan">
      <formula>0.1</formula>
    </cfRule>
  </conditionalFormatting>
  <conditionalFormatting sqref="E39">
    <cfRule type="cellIs" dxfId="54" priority="30" operator="equal">
      <formula>0</formula>
    </cfRule>
  </conditionalFormatting>
  <conditionalFormatting sqref="F52">
    <cfRule type="cellIs" dxfId="53" priority="28" operator="lessThan">
      <formula>-0.1</formula>
    </cfRule>
    <cfRule type="cellIs" dxfId="52" priority="29" operator="greaterThan">
      <formula>0.1</formula>
    </cfRule>
  </conditionalFormatting>
  <conditionalFormatting sqref="D52:E52">
    <cfRule type="cellIs" dxfId="51" priority="27" operator="equal">
      <formula>0</formula>
    </cfRule>
  </conditionalFormatting>
  <conditionalFormatting sqref="F52">
    <cfRule type="cellIs" dxfId="50" priority="25" operator="lessThan">
      <formula>-0.1</formula>
    </cfRule>
    <cfRule type="cellIs" dxfId="49" priority="26" operator="greaterThan">
      <formula>0.1</formula>
    </cfRule>
  </conditionalFormatting>
  <conditionalFormatting sqref="D52">
    <cfRule type="cellIs" dxfId="48" priority="24" operator="equal">
      <formula>0</formula>
    </cfRule>
  </conditionalFormatting>
  <conditionalFormatting sqref="G52">
    <cfRule type="cellIs" dxfId="47" priority="22" operator="greaterThan">
      <formula>1</formula>
    </cfRule>
    <cfRule type="cellIs" dxfId="46" priority="23" operator="greaterThan">
      <formula>1</formula>
    </cfRule>
  </conditionalFormatting>
  <conditionalFormatting sqref="F16">
    <cfRule type="cellIs" dxfId="45" priority="20" operator="lessThan">
      <formula>-0.1</formula>
    </cfRule>
    <cfRule type="cellIs" dxfId="44" priority="21" operator="greaterThan">
      <formula>0.1</formula>
    </cfRule>
  </conditionalFormatting>
  <conditionalFormatting sqref="D16:E16">
    <cfRule type="cellIs" dxfId="43" priority="19" operator="equal">
      <formula>0</formula>
    </cfRule>
  </conditionalFormatting>
  <conditionalFormatting sqref="F25">
    <cfRule type="cellIs" dxfId="42" priority="17" operator="lessThan">
      <formula>-0.1</formula>
    </cfRule>
    <cfRule type="cellIs" dxfId="41" priority="18" operator="greaterThan">
      <formula>0.1</formula>
    </cfRule>
  </conditionalFormatting>
  <conditionalFormatting sqref="D25:E25">
    <cfRule type="cellIs" dxfId="40" priority="16" operator="equal">
      <formula>0</formula>
    </cfRule>
  </conditionalFormatting>
  <conditionalFormatting sqref="F56:F59">
    <cfRule type="cellIs" dxfId="39" priority="14" operator="lessThan">
      <formula>-0.1</formula>
    </cfRule>
    <cfRule type="cellIs" dxfId="38" priority="15" operator="greaterThan">
      <formula>0.1</formula>
    </cfRule>
  </conditionalFormatting>
  <conditionalFormatting sqref="E56:E59">
    <cfRule type="cellIs" dxfId="37" priority="13" operator="equal">
      <formula>0</formula>
    </cfRule>
  </conditionalFormatting>
  <conditionalFormatting sqref="F56:F59">
    <cfRule type="cellIs" dxfId="36" priority="11" operator="lessThan">
      <formula>-0.1</formula>
    </cfRule>
    <cfRule type="cellIs" dxfId="35" priority="12" operator="greaterThan">
      <formula>0.1</formula>
    </cfRule>
  </conditionalFormatting>
  <conditionalFormatting sqref="E56:E59">
    <cfRule type="cellIs" dxfId="34" priority="10" operator="equal">
      <formula>0</formula>
    </cfRule>
  </conditionalFormatting>
  <conditionalFormatting sqref="D56:D59">
    <cfRule type="cellIs" dxfId="33" priority="9" operator="equal">
      <formula>0</formula>
    </cfRule>
  </conditionalFormatting>
  <conditionalFormatting sqref="D56:D59">
    <cfRule type="cellIs" dxfId="32" priority="8" operator="equal">
      <formula>0</formula>
    </cfRule>
  </conditionalFormatting>
  <conditionalFormatting sqref="F55">
    <cfRule type="cellIs" dxfId="31" priority="6" operator="lessThan">
      <formula>-0.1</formula>
    </cfRule>
    <cfRule type="cellIs" dxfId="30" priority="7" operator="greaterThan">
      <formula>0.1</formula>
    </cfRule>
  </conditionalFormatting>
  <conditionalFormatting sqref="D55:E55">
    <cfRule type="cellIs" dxfId="29" priority="5" operator="equal">
      <formula>0</formula>
    </cfRule>
  </conditionalFormatting>
  <conditionalFormatting sqref="F55">
    <cfRule type="cellIs" dxfId="28" priority="3" operator="lessThan">
      <formula>-0.1</formula>
    </cfRule>
    <cfRule type="cellIs" dxfId="27" priority="4" operator="greaterThan">
      <formula>0.1</formula>
    </cfRule>
  </conditionalFormatting>
  <conditionalFormatting sqref="D55">
    <cfRule type="cellIs" dxfId="26" priority="2" operator="equal">
      <formula>0</formula>
    </cfRule>
  </conditionalFormatting>
  <conditionalFormatting sqref="E55">
    <cfRule type="cellIs" dxfId="25" priority="1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1767-0507-44EE-BAD4-356F76E7CF89}">
  <dimension ref="A2:L33"/>
  <sheetViews>
    <sheetView showGridLines="0" workbookViewId="0">
      <selection activeCell="C42" sqref="C42"/>
    </sheetView>
  </sheetViews>
  <sheetFormatPr baseColWidth="10" defaultColWidth="11.42578125" defaultRowHeight="10.5" x14ac:dyDescent="0.15"/>
  <cols>
    <col min="1" max="1" width="4.42578125" style="138" bestFit="1" customWidth="1"/>
    <col min="2" max="2" width="11.42578125" style="139" bestFit="1"/>
    <col min="3" max="3" width="36" style="138" bestFit="1" customWidth="1"/>
    <col min="4" max="4" width="5.85546875" style="140" bestFit="1" customWidth="1"/>
    <col min="5" max="5" width="5.28515625" style="138" bestFit="1" customWidth="1"/>
    <col min="6" max="6" width="6.7109375" style="138" bestFit="1" customWidth="1"/>
    <col min="7" max="7" width="3.5703125" style="138" bestFit="1" customWidth="1"/>
    <col min="8" max="8" width="24.5703125" style="138" bestFit="1" customWidth="1"/>
    <col min="9" max="9" width="11.7109375" style="138" bestFit="1" customWidth="1"/>
    <col min="10" max="10" width="20" style="139" hidden="1" customWidth="1"/>
    <col min="11" max="11" width="22.5703125" style="138" bestFit="1" customWidth="1"/>
    <col min="12" max="12" width="2.7109375" style="141" bestFit="1" customWidth="1"/>
    <col min="13" max="13" width="11.7109375" style="138" bestFit="1" customWidth="1"/>
    <col min="14" max="16384" width="11.42578125" style="138"/>
  </cols>
  <sheetData>
    <row r="2" spans="1:12" x14ac:dyDescent="0.15">
      <c r="E2" s="139"/>
      <c r="G2" s="139"/>
      <c r="J2" s="138"/>
    </row>
    <row r="4" spans="1:12" x14ac:dyDescent="0.15">
      <c r="B4" s="142" t="s">
        <v>2</v>
      </c>
      <c r="C4" s="143" t="s">
        <v>446</v>
      </c>
      <c r="D4" s="144" t="s">
        <v>447</v>
      </c>
      <c r="E4" s="143" t="s">
        <v>4</v>
      </c>
      <c r="F4" s="143" t="s">
        <v>448</v>
      </c>
      <c r="G4" s="143" t="s">
        <v>6</v>
      </c>
      <c r="H4" s="145" t="s">
        <v>7</v>
      </c>
      <c r="I4" s="143" t="s">
        <v>8</v>
      </c>
      <c r="J4" s="143" t="s">
        <v>9</v>
      </c>
    </row>
    <row r="5" spans="1:12" x14ac:dyDescent="0.15">
      <c r="B5" s="146" t="s">
        <v>449</v>
      </c>
      <c r="C5" s="147" t="s">
        <v>450</v>
      </c>
      <c r="D5" s="148" t="s">
        <v>388</v>
      </c>
      <c r="E5" s="149">
        <f>IFERROR(VLOOKUP($B5, [3]Preliminar!$A$2:$E$430, 3, FALSE), 0)</f>
        <v>1865</v>
      </c>
      <c r="F5" s="149">
        <f>IFERROR(VLOOKUP($B5, [3]Sist.!$A$2:$G$307, 6, FALSE), 0)</f>
        <v>1840</v>
      </c>
      <c r="G5" s="150">
        <f t="shared" ref="G5:G26" si="0">E5-F5</f>
        <v>25</v>
      </c>
      <c r="H5" s="151" t="s">
        <v>451</v>
      </c>
      <c r="I5" s="153" t="s">
        <v>388</v>
      </c>
      <c r="J5" s="154" t="e">
        <f ca="1">DATEDIF(#REF!,TODAY(),"y")&amp;" Años,  "&amp;   DATEDIF(#REF!,TODAY(),"ym")&amp;" Meses,  "&amp;   DATEDIF(#REF!,TODAY(),"md")  &amp; " Dias "</f>
        <v>#REF!</v>
      </c>
    </row>
    <row r="6" spans="1:12" x14ac:dyDescent="0.15">
      <c r="B6" s="155" t="s">
        <v>398</v>
      </c>
      <c r="C6" s="156" t="s">
        <v>399</v>
      </c>
      <c r="D6" s="148" t="s">
        <v>388</v>
      </c>
      <c r="E6" s="149">
        <f>IFERROR(VLOOKUP($B6, [3]Preliminar!$A$2:$E$430, 3, FALSE), 0)</f>
        <v>12</v>
      </c>
      <c r="F6" s="149">
        <f>IFERROR(VLOOKUP($B6, [3]Sist.!$A$2:$G$307, 6, FALSE), 0)</f>
        <v>12</v>
      </c>
      <c r="G6" s="150">
        <f t="shared" si="0"/>
        <v>0</v>
      </c>
      <c r="H6" s="155"/>
      <c r="I6" s="157" t="s">
        <v>388</v>
      </c>
      <c r="J6" s="154" t="e">
        <f ca="1">DATEDIF(#REF!,TODAY(),"y")&amp;" Años,  "&amp;   DATEDIF(#REF!,TODAY(),"ym")&amp;" Meses,  "&amp;   DATEDIF(#REF!,TODAY(),"md")  &amp; " Dias "</f>
        <v>#REF!</v>
      </c>
      <c r="L6" s="141">
        <v>60</v>
      </c>
    </row>
    <row r="7" spans="1:12" x14ac:dyDescent="0.15">
      <c r="A7" s="138">
        <v>1483</v>
      </c>
      <c r="B7" s="155" t="s">
        <v>442</v>
      </c>
      <c r="C7" s="156" t="s">
        <v>443</v>
      </c>
      <c r="D7" s="148" t="s">
        <v>388</v>
      </c>
      <c r="E7" s="149">
        <f>IFERROR(VLOOKUP($B7, [3]Preliminar!$A$2:$E$430, 3, FALSE), 0)</f>
        <v>14</v>
      </c>
      <c r="F7" s="149">
        <f>IFERROR(VLOOKUP($B7, [3]Sist.!$A$2:$G$307, 6, FALSE), 0)</f>
        <v>14</v>
      </c>
      <c r="G7" s="150">
        <f t="shared" si="0"/>
        <v>0</v>
      </c>
      <c r="H7" s="155" t="s">
        <v>452</v>
      </c>
      <c r="I7" s="157" t="s">
        <v>388</v>
      </c>
      <c r="J7" s="154" t="e">
        <f ca="1">DATEDIF(#REF!,TODAY(),"y")&amp;" Años,  "&amp;   DATEDIF(#REF!,TODAY(),"ym")&amp;" Meses,  "&amp;   DATEDIF(#REF!,TODAY(),"md")  &amp; " Dias "</f>
        <v>#REF!</v>
      </c>
      <c r="L7" s="141">
        <v>60</v>
      </c>
    </row>
    <row r="8" spans="1:12" x14ac:dyDescent="0.15">
      <c r="A8" s="138">
        <v>1358</v>
      </c>
      <c r="B8" s="155" t="s">
        <v>429</v>
      </c>
      <c r="C8" s="158" t="s">
        <v>430</v>
      </c>
      <c r="D8" s="159" t="s">
        <v>388</v>
      </c>
      <c r="E8" s="149">
        <f>IFERROR(VLOOKUP($B8, [3]Preliminar!$A$2:$E$430, 3, FALSE), 0)</f>
        <v>167</v>
      </c>
      <c r="F8" s="149">
        <f>IFERROR(VLOOKUP($B8, [3]Sist.!$A$2:$G$307, 6, FALSE), 0)</f>
        <v>167</v>
      </c>
      <c r="G8" s="150">
        <f t="shared" si="0"/>
        <v>0</v>
      </c>
      <c r="H8" s="151"/>
      <c r="I8" s="152" t="s">
        <v>388</v>
      </c>
      <c r="J8" s="160" t="e">
        <f ca="1">DATEDIF(#REF!,TODAY(),"y")&amp;" Años,  "&amp;   DATEDIF(#REF!,TODAY(),"ym")&amp;" Meses,  "&amp;   DATEDIF(#REF!,TODAY(),"md")  &amp; " Dias "</f>
        <v>#REF!</v>
      </c>
      <c r="L8" s="141">
        <v>60</v>
      </c>
    </row>
    <row r="9" spans="1:12" x14ac:dyDescent="0.15">
      <c r="A9" s="138">
        <v>1513</v>
      </c>
      <c r="B9" s="155" t="s">
        <v>400</v>
      </c>
      <c r="C9" s="158" t="s">
        <v>401</v>
      </c>
      <c r="D9" s="159" t="s">
        <v>388</v>
      </c>
      <c r="E9" s="149">
        <f>IFERROR(VLOOKUP($B9, [3]Preliminar!$A$2:$E$430, 3, FALSE), 0)</f>
        <v>212</v>
      </c>
      <c r="F9" s="149">
        <f>IFERROR(VLOOKUP($B9, [3]Sist.!$A$2:$G$307, 6, FALSE), 0)</f>
        <v>212</v>
      </c>
      <c r="G9" s="150">
        <f t="shared" si="0"/>
        <v>0</v>
      </c>
      <c r="H9" s="151"/>
      <c r="I9" s="152" t="s">
        <v>388</v>
      </c>
      <c r="J9" s="160" t="e">
        <f ca="1">DATEDIF(#REF!,TODAY(),"y")&amp;" Años,  "&amp;   DATEDIF(#REF!,TODAY(),"ym")&amp;" Meses,  "&amp;   DATEDIF(#REF!,TODAY(),"md")  &amp; " Dias "</f>
        <v>#REF!</v>
      </c>
    </row>
    <row r="10" spans="1:12" x14ac:dyDescent="0.15">
      <c r="B10" s="155" t="s">
        <v>453</v>
      </c>
      <c r="C10" s="158" t="s">
        <v>454</v>
      </c>
      <c r="D10" s="161">
        <f t="shared" ref="D10:D23" ca="1" si="1">I10-TODAY()</f>
        <v>569</v>
      </c>
      <c r="E10" s="149">
        <f>IFERROR(VLOOKUP($B10, [3]Preliminar!$A$2:$E$430, 3, FALSE), 0)</f>
        <v>1888</v>
      </c>
      <c r="F10" s="149">
        <f>IFERROR(VLOOKUP($B10, [3]Sist.!$A$2:$G$307, 6, FALSE), 0)</f>
        <v>1888</v>
      </c>
      <c r="G10" s="150">
        <f t="shared" si="0"/>
        <v>0</v>
      </c>
      <c r="H10" s="151"/>
      <c r="I10" s="153">
        <v>46722</v>
      </c>
      <c r="J10" s="160" t="e">
        <f ca="1">DATEDIF(#REF!,TODAY(),"y")&amp;" Años,  "&amp;   DATEDIF(#REF!,TODAY(),"ym")&amp;" Meses,  "&amp;   DATEDIF(#REF!,TODAY(),"md")  &amp; " Dias "</f>
        <v>#REF!</v>
      </c>
    </row>
    <row r="11" spans="1:12" x14ac:dyDescent="0.15">
      <c r="B11" s="155" t="s">
        <v>455</v>
      </c>
      <c r="C11" s="158" t="s">
        <v>456</v>
      </c>
      <c r="D11" s="161">
        <f t="shared" ca="1" si="1"/>
        <v>905</v>
      </c>
      <c r="E11" s="149">
        <f>IFERROR(VLOOKUP($B11, [3]Preliminar!$A$2:$E$430, 3, FALSE), 0)</f>
        <v>94</v>
      </c>
      <c r="F11" s="149">
        <f>IFERROR(VLOOKUP($B11, [3]Sist.!$A$2:$G$307, 6, FALSE), 0)</f>
        <v>94</v>
      </c>
      <c r="G11" s="150">
        <f t="shared" si="0"/>
        <v>0</v>
      </c>
      <c r="H11" s="151" t="s">
        <v>457</v>
      </c>
      <c r="I11" s="153">
        <v>47058</v>
      </c>
      <c r="J11" s="160" t="e">
        <f ca="1">DATEDIF(#REF!,TODAY(),"y")&amp;" Años,  "&amp;   DATEDIF(#REF!,TODAY(),"ym")&amp;" Meses,  "&amp;   DATEDIF(#REF!,TODAY(),"md")  &amp; " Dias "</f>
        <v>#REF!</v>
      </c>
    </row>
    <row r="12" spans="1:12" ht="12" x14ac:dyDescent="0.2">
      <c r="B12" s="162" t="s">
        <v>357</v>
      </c>
      <c r="C12" s="155" t="s">
        <v>358</v>
      </c>
      <c r="D12" s="161">
        <f t="shared" ca="1" si="1"/>
        <v>905</v>
      </c>
      <c r="E12" s="149">
        <f>IFERROR(VLOOKUP($B12, [3]Preliminar!$A$2:$E$430, 3, FALSE), 0)</f>
        <v>22</v>
      </c>
      <c r="F12" s="149">
        <f>IFERROR(VLOOKUP($B12, [3]Sist.!$A$2:$G$307, 6, FALSE), 0)</f>
        <v>22</v>
      </c>
      <c r="G12" s="150">
        <f t="shared" si="0"/>
        <v>0</v>
      </c>
      <c r="H12" s="151"/>
      <c r="I12" s="153">
        <v>47058</v>
      </c>
      <c r="J12" s="160" t="e">
        <f ca="1">DATEDIF(#REF!,TODAY(),"y")&amp;" Años,  "&amp;   DATEDIF(#REF!,TODAY(),"ym")&amp;" Meses,  "&amp;   DATEDIF(#REF!,TODAY(),"md")  &amp; " Dias "</f>
        <v>#REF!</v>
      </c>
    </row>
    <row r="13" spans="1:12" ht="12" x14ac:dyDescent="0.2">
      <c r="B13" s="163" t="s">
        <v>458</v>
      </c>
      <c r="C13" s="155" t="s">
        <v>459</v>
      </c>
      <c r="D13" s="161">
        <f t="shared" ca="1" si="1"/>
        <v>905</v>
      </c>
      <c r="E13" s="149">
        <f>IFERROR(VLOOKUP($B13, [3]Preliminar!$A$2:$E$430, 3, FALSE), 0)</f>
        <v>97</v>
      </c>
      <c r="F13" s="149">
        <f>IFERROR(VLOOKUP($B13, [3]Sist.!$A$2:$G$307, 6, FALSE), 0)</f>
        <v>97</v>
      </c>
      <c r="G13" s="150">
        <f t="shared" si="0"/>
        <v>0</v>
      </c>
      <c r="H13" s="151"/>
      <c r="I13" s="153">
        <v>47058</v>
      </c>
      <c r="J13" s="160" t="e">
        <f ca="1">DATEDIF(#REF!,TODAY(),"y")&amp;" Años,  "&amp;   DATEDIF(#REF!,TODAY(),"ym")&amp;" Meses,  "&amp;   DATEDIF(#REF!,TODAY(),"md")  &amp; " Dias "</f>
        <v>#REF!</v>
      </c>
    </row>
    <row r="14" spans="1:12" x14ac:dyDescent="0.15">
      <c r="B14" s="155" t="s">
        <v>460</v>
      </c>
      <c r="C14" s="156" t="s">
        <v>461</v>
      </c>
      <c r="D14" s="161">
        <f t="shared" ca="1" si="1"/>
        <v>569</v>
      </c>
      <c r="E14" s="149">
        <f>IFERROR(VLOOKUP($B14, [3]Preliminar!$A$2:$E$430, 3, FALSE), 0)</f>
        <v>38</v>
      </c>
      <c r="F14" s="149">
        <f>IFERROR(VLOOKUP($B14, [3]Sist.!$A$2:$G$307, 6, FALSE), 0)</f>
        <v>38</v>
      </c>
      <c r="G14" s="157">
        <f t="shared" si="0"/>
        <v>0</v>
      </c>
      <c r="H14" s="151"/>
      <c r="I14" s="153">
        <v>46722</v>
      </c>
      <c r="J14" s="160" t="e">
        <f ca="1">DATEDIF(#REF!,TODAY(),"y")&amp;" Años,  "&amp;   DATEDIF(#REF!,TODAY(),"ym")&amp;" Meses,  "&amp;   DATEDIF(#REF!,TODAY(),"md")  &amp; " Dias "</f>
        <v>#REF!</v>
      </c>
    </row>
    <row r="15" spans="1:12" x14ac:dyDescent="0.15">
      <c r="B15" s="155" t="s">
        <v>462</v>
      </c>
      <c r="C15" s="156" t="s">
        <v>463</v>
      </c>
      <c r="D15" s="161">
        <f t="shared" ca="1" si="1"/>
        <v>569</v>
      </c>
      <c r="E15" s="149">
        <f>IFERROR(VLOOKUP($B15, [3]Preliminar!$A$2:$E$430, 3, FALSE), 0)</f>
        <v>1653</v>
      </c>
      <c r="F15" s="149">
        <f>IFERROR(VLOOKUP($B15, [3]Sist.!$A$2:$G$307, 6, FALSE), 0)</f>
        <v>1653</v>
      </c>
      <c r="G15" s="157">
        <f t="shared" si="0"/>
        <v>0</v>
      </c>
      <c r="H15" s="151"/>
      <c r="I15" s="164">
        <v>46722</v>
      </c>
      <c r="J15" s="160" t="e">
        <f ca="1">DATEDIF(#REF!,TODAY(),"y")&amp;" Años,  "&amp;   DATEDIF(#REF!,TODAY(),"ym")&amp;" Meses,  "&amp;   DATEDIF(#REF!,TODAY(),"md")  &amp; " Dias "</f>
        <v>#REF!</v>
      </c>
    </row>
    <row r="16" spans="1:12" x14ac:dyDescent="0.15">
      <c r="B16" s="155" t="s">
        <v>65</v>
      </c>
      <c r="C16" s="156" t="s">
        <v>66</v>
      </c>
      <c r="D16" s="161">
        <f t="shared" ca="1" si="1"/>
        <v>569</v>
      </c>
      <c r="E16" s="149">
        <f>IFERROR(VLOOKUP($B16, [3]Preliminar!$A$2:$E$430, 3, FALSE), 0)</f>
        <v>4652</v>
      </c>
      <c r="F16" s="149">
        <f>IFERROR(VLOOKUP($B16, [3]Sist.!$A$2:$G$307, 6, FALSE), 0)</f>
        <v>4652</v>
      </c>
      <c r="G16" s="157">
        <f t="shared" si="0"/>
        <v>0</v>
      </c>
      <c r="H16" s="151"/>
      <c r="I16" s="164">
        <v>46722</v>
      </c>
      <c r="J16" s="160" t="e">
        <f ca="1">DATEDIF(#REF!,TODAY(),"y")&amp;" Años,  "&amp;   DATEDIF(#REF!,TODAY(),"ym")&amp;" Meses,  "&amp;   DATEDIF(#REF!,TODAY(),"md")  &amp; " Dias "</f>
        <v>#REF!</v>
      </c>
    </row>
    <row r="17" spans="1:12" ht="12" x14ac:dyDescent="0.2">
      <c r="B17" s="162" t="s">
        <v>464</v>
      </c>
      <c r="C17" s="155" t="s">
        <v>465</v>
      </c>
      <c r="D17" s="161">
        <f t="shared" ca="1" si="1"/>
        <v>905</v>
      </c>
      <c r="E17" s="149">
        <f>IFERROR(VLOOKUP($B17, [3]Preliminar!$A$2:$E$430, 3, FALSE), 0)</f>
        <v>141</v>
      </c>
      <c r="F17" s="149">
        <f>IFERROR(VLOOKUP($B17, [3]Sist.!$A$2:$G$307, 6, FALSE), 0)</f>
        <v>141</v>
      </c>
      <c r="G17" s="157">
        <f t="shared" si="0"/>
        <v>0</v>
      </c>
      <c r="H17" s="151"/>
      <c r="I17" s="164">
        <v>47058</v>
      </c>
      <c r="J17" s="160" t="e">
        <f ca="1">DATEDIF(#REF!,TODAY(),"y")&amp;" Años,  "&amp;   DATEDIF(#REF!,TODAY(),"ym")&amp;" Meses,  "&amp;   DATEDIF(#REF!,TODAY(),"md")  &amp; " Dias "</f>
        <v>#REF!</v>
      </c>
    </row>
    <row r="18" spans="1:12" ht="12" x14ac:dyDescent="0.2">
      <c r="B18" s="162" t="s">
        <v>466</v>
      </c>
      <c r="C18" s="155" t="s">
        <v>467</v>
      </c>
      <c r="D18" s="161">
        <f t="shared" ca="1" si="1"/>
        <v>905</v>
      </c>
      <c r="E18" s="149">
        <f>IFERROR(VLOOKUP($B18, [3]Preliminar!$A$2:$E$430, 3, FALSE), 0)</f>
        <v>577</v>
      </c>
      <c r="F18" s="149">
        <f>IFERROR(VLOOKUP($B18, [3]Sist.!$A$2:$G$307, 6, FALSE), 0)</f>
        <v>577</v>
      </c>
      <c r="G18" s="157">
        <f t="shared" si="0"/>
        <v>0</v>
      </c>
      <c r="H18" s="151"/>
      <c r="I18" s="164">
        <v>47058</v>
      </c>
      <c r="J18" s="160" t="e">
        <f ca="1">DATEDIF(#REF!,TODAY(),"y")&amp;" Años,  "&amp;   DATEDIF(#REF!,TODAY(),"ym")&amp;" Meses,  "&amp;   DATEDIF(#REF!,TODAY(),"md")  &amp; " Dias "</f>
        <v>#REF!</v>
      </c>
    </row>
    <row r="19" spans="1:12" ht="12" x14ac:dyDescent="0.2">
      <c r="B19" s="162" t="s">
        <v>468</v>
      </c>
      <c r="C19" s="155" t="s">
        <v>469</v>
      </c>
      <c r="D19" s="161">
        <f t="shared" ca="1" si="1"/>
        <v>905</v>
      </c>
      <c r="E19" s="149">
        <f>IFERROR(VLOOKUP($B19, [3]Preliminar!$A$2:$E$430, 3, FALSE), 0)</f>
        <v>573</v>
      </c>
      <c r="F19" s="149">
        <f>IFERROR(VLOOKUP($B19, [3]Sist.!$A$2:$G$307, 6, FALSE), 0)</f>
        <v>573</v>
      </c>
      <c r="G19" s="157">
        <f t="shared" si="0"/>
        <v>0</v>
      </c>
      <c r="H19" s="151"/>
      <c r="I19" s="164">
        <v>47058</v>
      </c>
      <c r="J19" s="160" t="e">
        <f ca="1">DATEDIF(#REF!,TODAY(),"y")&amp;" Años,  "&amp;   DATEDIF(#REF!,TODAY(),"ym")&amp;" Meses,  "&amp;   DATEDIF(#REF!,TODAY(),"md")  &amp; " Dias "</f>
        <v>#REF!</v>
      </c>
    </row>
    <row r="20" spans="1:12" ht="12" x14ac:dyDescent="0.2">
      <c r="B20" s="162" t="s">
        <v>470</v>
      </c>
      <c r="C20" s="155" t="s">
        <v>471</v>
      </c>
      <c r="D20" s="161">
        <f t="shared" ca="1" si="1"/>
        <v>905</v>
      </c>
      <c r="E20" s="149">
        <f>IFERROR(VLOOKUP($B20, [3]Preliminar!$A$2:$E$430, 3, FALSE), 0)</f>
        <v>56</v>
      </c>
      <c r="F20" s="149">
        <f>IFERROR(VLOOKUP($B20, [3]Sist.!$A$2:$G$307, 6, FALSE), 0)</f>
        <v>56</v>
      </c>
      <c r="G20" s="157">
        <f t="shared" si="0"/>
        <v>0</v>
      </c>
      <c r="H20" s="151"/>
      <c r="I20" s="164">
        <v>47058</v>
      </c>
      <c r="J20" s="160" t="e">
        <f ca="1">DATEDIF(#REF!,TODAY(),"y")&amp;" Años,  "&amp;   DATEDIF(#REF!,TODAY(),"ym")&amp;" Meses,  "&amp;   DATEDIF(#REF!,TODAY(),"md")  &amp; " Dias "</f>
        <v>#REF!</v>
      </c>
    </row>
    <row r="21" spans="1:12" ht="12" x14ac:dyDescent="0.2">
      <c r="B21" s="162" t="s">
        <v>472</v>
      </c>
      <c r="C21" s="155" t="s">
        <v>473</v>
      </c>
      <c r="D21" s="161">
        <f t="shared" ca="1" si="1"/>
        <v>905</v>
      </c>
      <c r="E21" s="149">
        <f>IFERROR(VLOOKUP($B21, [3]Preliminar!$A$2:$E$430, 3, FALSE), 0)</f>
        <v>181</v>
      </c>
      <c r="F21" s="149">
        <f>IFERROR(VLOOKUP($B21, [3]Sist.!$A$2:$G$307, 6, FALSE), 0)</f>
        <v>181</v>
      </c>
      <c r="G21" s="157">
        <f t="shared" si="0"/>
        <v>0</v>
      </c>
      <c r="H21" s="151"/>
      <c r="I21" s="164">
        <v>47058</v>
      </c>
      <c r="J21" s="160" t="e">
        <f ca="1">DATEDIF(#REF!,TODAY(),"y")&amp;" Años,  "&amp;   DATEDIF(#REF!,TODAY(),"ym")&amp;" Meses,  "&amp;   DATEDIF(#REF!,TODAY(),"md")  &amp; " Dias "</f>
        <v>#REF!</v>
      </c>
    </row>
    <row r="22" spans="1:12" ht="12" x14ac:dyDescent="0.2">
      <c r="B22" s="162" t="s">
        <v>474</v>
      </c>
      <c r="C22" s="155" t="s">
        <v>475</v>
      </c>
      <c r="D22" s="161">
        <f t="shared" ca="1" si="1"/>
        <v>905</v>
      </c>
      <c r="E22" s="149">
        <f>IFERROR(VLOOKUP($B22, [3]Preliminar!$A$2:$E$430, 3, FALSE), 0)</f>
        <v>110</v>
      </c>
      <c r="F22" s="149">
        <f>IFERROR(VLOOKUP($B22, [3]Sist.!$A$2:$G$307, 6, FALSE), 0)</f>
        <v>110</v>
      </c>
      <c r="G22" s="157">
        <f t="shared" si="0"/>
        <v>0</v>
      </c>
      <c r="H22" s="151"/>
      <c r="I22" s="164">
        <v>47058</v>
      </c>
      <c r="J22" s="160" t="e">
        <f ca="1">DATEDIF(#REF!,TODAY(),"y")&amp;" Años,  "&amp;   DATEDIF(#REF!,TODAY(),"ym")&amp;" Meses,  "&amp;   DATEDIF(#REF!,TODAY(),"md")  &amp; " Dias "</f>
        <v>#REF!</v>
      </c>
    </row>
    <row r="23" spans="1:12" ht="12.75" thickBot="1" x14ac:dyDescent="0.25">
      <c r="B23" s="165" t="s">
        <v>476</v>
      </c>
      <c r="C23" s="166" t="s">
        <v>477</v>
      </c>
      <c r="D23" s="167">
        <f t="shared" ca="1" si="1"/>
        <v>905</v>
      </c>
      <c r="E23" s="168">
        <f>IFERROR(VLOOKUP($B23, [3]Preliminar!$A$2:$E$430, 3, FALSE), 0)</f>
        <v>394</v>
      </c>
      <c r="F23" s="168">
        <f>IFERROR(VLOOKUP($B23, [3]Sist.!$A$2:$G$307, 6, FALSE), 0)</f>
        <v>394</v>
      </c>
      <c r="G23" s="169">
        <f t="shared" si="0"/>
        <v>0</v>
      </c>
      <c r="H23" s="166"/>
      <c r="I23" s="170">
        <v>47058</v>
      </c>
      <c r="J23" s="171" t="e">
        <f ca="1">DATEDIF(#REF!,TODAY(),"y")&amp;" Años,  "&amp;   DATEDIF(#REF!,TODAY(),"ym")&amp;" Meses,  "&amp;   DATEDIF(#REF!,TODAY(),"md")  &amp; " Dias "</f>
        <v>#REF!</v>
      </c>
    </row>
    <row r="24" spans="1:12" ht="11.25" hidden="1" thickTop="1" x14ac:dyDescent="0.15">
      <c r="B24" s="172" t="s">
        <v>478</v>
      </c>
      <c r="C24" s="173" t="s">
        <v>479</v>
      </c>
      <c r="D24" s="174" t="s">
        <v>388</v>
      </c>
      <c r="E24" s="175">
        <f>IFERROR(VLOOKUP($B24, [3]Preliminar!$A$2:$E$430, 3, FALSE), 0)</f>
        <v>0</v>
      </c>
      <c r="F24" s="175">
        <f>IFERROR(VLOOKUP($B24, [3]Sist.!$A$2:$G$307, 6, FALSE), 0)</f>
        <v>0</v>
      </c>
      <c r="G24" s="176">
        <f t="shared" si="0"/>
        <v>0</v>
      </c>
      <c r="H24" s="172"/>
      <c r="I24" s="176" t="s">
        <v>388</v>
      </c>
      <c r="J24" s="177" t="e">
        <f ca="1">DATEDIF(#REF!,TODAY(),"y")&amp;" Años,  "&amp;   DATEDIF(#REF!,TODAY(),"ym")&amp;" Meses,  "&amp;   DATEDIF(#REF!,TODAY(),"md")  &amp; " Dias "</f>
        <v>#REF!</v>
      </c>
    </row>
    <row r="25" spans="1:12" ht="11.25" hidden="1" thickTop="1" x14ac:dyDescent="0.15">
      <c r="B25" s="155" t="s">
        <v>480</v>
      </c>
      <c r="C25" s="156" t="s">
        <v>481</v>
      </c>
      <c r="D25" s="161">
        <f ca="1">I25-TODAY()</f>
        <v>569</v>
      </c>
      <c r="E25" s="149">
        <f>IFERROR(VLOOKUP($B25, [3]Preliminar!$A$2:$E$430, 3, FALSE), 0)</f>
        <v>0</v>
      </c>
      <c r="F25" s="149">
        <f>IFERROR(VLOOKUP($B25, [3]Sist.!$A$2:$G$307, 6, FALSE), 0)</f>
        <v>0</v>
      </c>
      <c r="G25" s="150">
        <f t="shared" si="0"/>
        <v>0</v>
      </c>
      <c r="H25" s="151"/>
      <c r="I25" s="153">
        <v>46722</v>
      </c>
      <c r="J25" s="160" t="e">
        <f ca="1">DATEDIF(#REF!,TODAY(),"y")&amp;" Años,  "&amp;   DATEDIF(#REF!,TODAY(),"ym")&amp;" Meses,  "&amp;   DATEDIF(#REF!,TODAY(),"md")  &amp; " Dias "</f>
        <v>#REF!</v>
      </c>
    </row>
    <row r="26" spans="1:12" ht="12.75" hidden="1" thickTop="1" x14ac:dyDescent="0.2">
      <c r="B26" s="163" t="s">
        <v>58</v>
      </c>
      <c r="C26" s="178" t="s">
        <v>482</v>
      </c>
      <c r="D26" s="161">
        <f ca="1">I26-TODAY()</f>
        <v>1239</v>
      </c>
      <c r="E26" s="149">
        <f>IFERROR(VLOOKUP($B26, [3]Preliminar!$A$2:$E$430, 3, FALSE), 0)</f>
        <v>0</v>
      </c>
      <c r="F26" s="149">
        <f>IFERROR(VLOOKUP($B26, [3]Sist.!$A$2:$G$307, 6, FALSE), 0)</f>
        <v>0</v>
      </c>
      <c r="G26" s="150">
        <f t="shared" si="0"/>
        <v>0</v>
      </c>
      <c r="H26" s="151"/>
      <c r="I26" s="153">
        <v>47392</v>
      </c>
      <c r="J26" s="160" t="e">
        <f ca="1">DATEDIF(#REF!,TODAY(),"y")&amp;" Años,  "&amp;   DATEDIF(#REF!,TODAY(),"ym")&amp;" Meses,  "&amp;   DATEDIF(#REF!,TODAY(),"md")  &amp; " Dias "</f>
        <v>#REF!</v>
      </c>
    </row>
    <row r="27" spans="1:12" ht="11.25" hidden="1" thickTop="1" x14ac:dyDescent="0.15">
      <c r="B27" s="179" t="s">
        <v>440</v>
      </c>
      <c r="C27" s="158" t="s">
        <v>483</v>
      </c>
      <c r="D27" s="148" t="s">
        <v>388</v>
      </c>
      <c r="E27" s="149">
        <f>IFERROR(VLOOKUP($B27, [3]Preliminar!$A$2:$E$430, 3, FALSE), 0)</f>
        <v>0</v>
      </c>
      <c r="F27" s="149">
        <f>IFERROR(VLOOKUP($B27, [3]Sist.!$A$2:$G$307, 6, FALSE), 0)</f>
        <v>0</v>
      </c>
      <c r="G27" s="150">
        <f>E27-F27</f>
        <v>0</v>
      </c>
      <c r="H27" s="180"/>
      <c r="I27" s="157" t="s">
        <v>388</v>
      </c>
      <c r="J27" s="154" t="e">
        <f ca="1">DATEDIF(#REF!,TODAY(),"y")&amp;" Años,  "&amp;   DATEDIF(#REF!,TODAY(),"ym")&amp;" Meses,  "&amp;   DATEDIF(#REF!,TODAY(),"md")  &amp; " Dias "</f>
        <v>#REF!</v>
      </c>
      <c r="L27" s="141">
        <v>60</v>
      </c>
    </row>
    <row r="28" spans="1:12" ht="11.25" hidden="1" thickTop="1" x14ac:dyDescent="0.15">
      <c r="B28" s="155" t="s">
        <v>484</v>
      </c>
      <c r="C28" s="181" t="s">
        <v>485</v>
      </c>
      <c r="D28" s="159" t="s">
        <v>388</v>
      </c>
      <c r="E28" s="149">
        <f>IFERROR(VLOOKUP($B28, [3]Preliminar!$A$2:$E$430, 3, FALSE), 0)</f>
        <v>0</v>
      </c>
      <c r="F28" s="149">
        <f>IFERROR(VLOOKUP($B28, [3]Sist.!$A$2:$G$307, 6, FALSE), 0)</f>
        <v>0</v>
      </c>
      <c r="G28" s="150">
        <f>E28-F28</f>
        <v>0</v>
      </c>
      <c r="H28" s="151"/>
      <c r="I28" s="152" t="s">
        <v>388</v>
      </c>
      <c r="J28" s="160" t="e">
        <f ca="1">DATEDIF(#REF!,TODAY(),"y")&amp;" Años,  "&amp;   DATEDIF(#REF!,TODAY(),"ym")&amp;" Meses,  "&amp;   DATEDIF(#REF!,TODAY(),"md")  &amp; " Dias "</f>
        <v>#REF!</v>
      </c>
    </row>
    <row r="29" spans="1:12" ht="11.25" hidden="1" thickTop="1" x14ac:dyDescent="0.15">
      <c r="A29" s="138">
        <v>1086</v>
      </c>
      <c r="B29" s="155" t="s">
        <v>427</v>
      </c>
      <c r="C29" s="156" t="s">
        <v>428</v>
      </c>
      <c r="D29" s="148" t="s">
        <v>388</v>
      </c>
      <c r="E29" s="149">
        <f>IFERROR(VLOOKUP($B29, [3]Preliminar!$A$2:$E$430, 3, FALSE), 0)</f>
        <v>0</v>
      </c>
      <c r="F29" s="149">
        <f>IFERROR(VLOOKUP($B29, [3]Sist.!$A$2:$G$307, 6, FALSE), 0)</f>
        <v>0</v>
      </c>
      <c r="G29" s="150">
        <f>E29-F29</f>
        <v>0</v>
      </c>
      <c r="H29" s="155"/>
      <c r="I29" s="157" t="s">
        <v>388</v>
      </c>
      <c r="J29" s="154" t="e">
        <f ca="1">DATEDIF(#REF!,TODAY(),"y")&amp;" Años,  "&amp;   DATEDIF(#REF!,TODAY(),"ym")&amp;" Meses,  "&amp;   DATEDIF(#REF!,TODAY(),"md")  &amp; " Dias "</f>
        <v>#REF!</v>
      </c>
      <c r="L29" s="141">
        <v>60</v>
      </c>
    </row>
    <row r="30" spans="1:12" ht="11.25" hidden="1" thickTop="1" x14ac:dyDescent="0.15">
      <c r="B30" s="182" t="s">
        <v>486</v>
      </c>
      <c r="C30" s="183" t="s">
        <v>487</v>
      </c>
      <c r="D30" s="184" t="s">
        <v>388</v>
      </c>
      <c r="E30" s="185">
        <f>IFERROR(VLOOKUP($B30, [3]Preliminar!$A$2:$E$430, 3, FALSE), 0)</f>
        <v>0</v>
      </c>
      <c r="F30" s="185">
        <f>IFERROR(VLOOKUP($B30, [3]Sist.!$A$2:$G$307, 6, FALSE), 0)</f>
        <v>0</v>
      </c>
      <c r="G30" s="186">
        <f>E30-F30</f>
        <v>0</v>
      </c>
      <c r="H30" s="182"/>
      <c r="I30" s="186" t="s">
        <v>388</v>
      </c>
      <c r="J30" s="187" t="e">
        <f ca="1">DATEDIF(#REF!,TODAY(),"y")&amp;" Años,  "&amp;   DATEDIF(#REF!,TODAY(),"ym")&amp;" Meses,  "&amp;   DATEDIF(#REF!,TODAY(),"md")  &amp; " Dias "</f>
        <v>#REF!</v>
      </c>
    </row>
    <row r="31" spans="1:12" ht="11.25" thickTop="1" x14ac:dyDescent="0.15"/>
    <row r="32" spans="1:12" x14ac:dyDescent="0.15">
      <c r="D32" s="188"/>
      <c r="H32" s="189"/>
    </row>
    <row r="33" spans="4:8" x14ac:dyDescent="0.15">
      <c r="D33" s="139"/>
      <c r="H33" s="189"/>
    </row>
  </sheetData>
  <conditionalFormatting sqref="G2">
    <cfRule type="cellIs" dxfId="24" priority="23" operator="equal">
      <formula>0</formula>
    </cfRule>
    <cfRule type="cellIs" dxfId="23" priority="24" operator="greaterThan">
      <formula>0.2</formula>
    </cfRule>
    <cfRule type="cellIs" dxfId="22" priority="25" operator="lessThan">
      <formula>-0.1</formula>
    </cfRule>
  </conditionalFormatting>
  <conditionalFormatting sqref="F5:F8 F15:F30">
    <cfRule type="cellIs" dxfId="21" priority="22" operator="equal">
      <formula>0</formula>
    </cfRule>
  </conditionalFormatting>
  <conditionalFormatting sqref="G5:G30">
    <cfRule type="cellIs" dxfId="20" priority="20" operator="greaterThan">
      <formula>0.5</formula>
    </cfRule>
    <cfRule type="cellIs" dxfId="19" priority="21" operator="lessThan">
      <formula>-0.1</formula>
    </cfRule>
  </conditionalFormatting>
  <conditionalFormatting sqref="G5:G30">
    <cfRule type="cellIs" dxfId="18" priority="19" operator="equal">
      <formula>0</formula>
    </cfRule>
  </conditionalFormatting>
  <conditionalFormatting sqref="F14">
    <cfRule type="cellIs" dxfId="17" priority="18" operator="equal">
      <formula>0</formula>
    </cfRule>
  </conditionalFormatting>
  <conditionalFormatting sqref="F9">
    <cfRule type="cellIs" dxfId="16" priority="17" operator="equal">
      <formula>0</formula>
    </cfRule>
  </conditionalFormatting>
  <conditionalFormatting sqref="F10">
    <cfRule type="cellIs" dxfId="15" priority="16" operator="equal">
      <formula>0</formula>
    </cfRule>
  </conditionalFormatting>
  <conditionalFormatting sqref="F11">
    <cfRule type="cellIs" dxfId="14" priority="15" operator="equal">
      <formula>0</formula>
    </cfRule>
  </conditionalFormatting>
  <conditionalFormatting sqref="F12">
    <cfRule type="cellIs" dxfId="13" priority="14" operator="equal">
      <formula>0</formula>
    </cfRule>
  </conditionalFormatting>
  <conditionalFormatting sqref="F13">
    <cfRule type="cellIs" dxfId="12" priority="13" operator="equal">
      <formula>0</formula>
    </cfRule>
  </conditionalFormatting>
  <conditionalFormatting sqref="F25:F29">
    <cfRule type="cellIs" dxfId="11" priority="12" operator="equal">
      <formula>0</formula>
    </cfRule>
  </conditionalFormatting>
  <conditionalFormatting sqref="F30">
    <cfRule type="cellIs" dxfId="10" priority="11" operator="equal">
      <formula>0</formula>
    </cfRule>
  </conditionalFormatting>
  <conditionalFormatting sqref="F28:F29">
    <cfRule type="cellIs" dxfId="9" priority="10" operator="equal">
      <formula>0</formula>
    </cfRule>
  </conditionalFormatting>
  <conditionalFormatting sqref="G26:G29">
    <cfRule type="cellIs" dxfId="8" priority="8" operator="greaterThan">
      <formula>0.5</formula>
    </cfRule>
    <cfRule type="cellIs" dxfId="7" priority="9" operator="lessThan">
      <formula>-0.1</formula>
    </cfRule>
  </conditionalFormatting>
  <conditionalFormatting sqref="G26:G29">
    <cfRule type="cellIs" dxfId="6" priority="7" operator="equal">
      <formula>0</formula>
    </cfRule>
  </conditionalFormatting>
  <conditionalFormatting sqref="F26:F29">
    <cfRule type="cellIs" dxfId="5" priority="6" operator="equal">
      <formula>0</formula>
    </cfRule>
  </conditionalFormatting>
  <conditionalFormatting sqref="H5">
    <cfRule type="cellIs" dxfId="4" priority="5" operator="greaterThan">
      <formula>1</formula>
    </cfRule>
  </conditionalFormatting>
  <conditionalFormatting sqref="H26:H29">
    <cfRule type="cellIs" dxfId="3" priority="4" operator="greaterThan">
      <formula>1</formula>
    </cfRule>
  </conditionalFormatting>
  <conditionalFormatting sqref="H28:H29">
    <cfRule type="cellIs" dxfId="2" priority="3" operator="greaterThan">
      <formula>1</formula>
    </cfRule>
  </conditionalFormatting>
  <conditionalFormatting sqref="D24 D5:D9 D27:D30">
    <cfRule type="iconSet" priority="30">
      <iconSet iconSet="3Symbols" showValue="0">
        <cfvo type="percent" val="0"/>
        <cfvo type="formula" val="0"/>
        <cfvo type="formula" val="#REF!" gte="0"/>
      </iconSet>
    </cfRule>
  </conditionalFormatting>
  <conditionalFormatting sqref="H7">
    <cfRule type="cellIs" dxfId="1" priority="2" operator="greaterThan">
      <formula>1</formula>
    </cfRule>
  </conditionalFormatting>
  <conditionalFormatting sqref="H11">
    <cfRule type="cellIs" dxfId="0" priority="1" operator="greaterThan">
      <formula>1</formula>
    </cfRule>
  </conditionalFormatting>
  <conditionalFormatting sqref="D10">
    <cfRule type="iconSet" priority="203">
      <iconSet iconSet="3Symbols" showValue="0">
        <cfvo type="percent" val="0"/>
        <cfvo type="formula" val="0"/>
        <cfvo type="formula" val="$L$4" gte="0"/>
      </iconSet>
    </cfRule>
  </conditionalFormatting>
  <conditionalFormatting sqref="D26">
    <cfRule type="iconSet" priority="204">
      <iconSet iconSet="3Symbols" showValue="0">
        <cfvo type="percent" val="0"/>
        <cfvo type="formula" val="0"/>
        <cfvo type="formula" val="$L$4" gte="0"/>
      </iconSet>
    </cfRule>
  </conditionalFormatting>
  <conditionalFormatting sqref="D15:D23">
    <cfRule type="iconSet" priority="205">
      <iconSet iconSet="3Symbols" showValue="0">
        <cfvo type="percent" val="0"/>
        <cfvo type="formula" val="0"/>
        <cfvo type="formula" val="$L$4" gte="0"/>
      </iconSet>
    </cfRule>
  </conditionalFormatting>
  <conditionalFormatting sqref="D11:D14 D25">
    <cfRule type="iconSet" priority="206">
      <iconSet iconSet="3Symbols" showValue="0">
        <cfvo type="percent" val="0"/>
        <cfvo type="formula" val="0"/>
        <cfvo type="formula" val="$L$4" gte="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Fertilisa</vt:lpstr>
      <vt:lpstr>Manvert, Jiffy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Deposito</dc:creator>
  <cp:lastModifiedBy>Deposito</cp:lastModifiedBy>
  <dcterms:created xsi:type="dcterms:W3CDTF">2026-05-11T14:53:05Z</dcterms:created>
  <dcterms:modified xsi:type="dcterms:W3CDTF">2026-05-11T14:57:29Z</dcterms:modified>
</cp:coreProperties>
</file>